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1c5d66dd010fbc96/Desktop/電子カルテに入れるのを希望/"/>
    </mc:Choice>
  </mc:AlternateContent>
  <xr:revisionPtr revIDLastSave="20" documentId="8_{F1E0CA2E-9A72-4E03-8E2F-ADC2ECE960EA}" xr6:coauthVersionLast="47" xr6:coauthVersionMax="47" xr10:uidLastSave="{B4E58001-506E-47C1-9879-812CBEC6B382}"/>
  <bookViews>
    <workbookView xWindow="2730" yWindow="2730" windowWidth="16200" windowHeight="9308" activeTab="1" xr2:uid="{00000000-000D-0000-FFFF-FFFF00000000}"/>
  </bookViews>
  <sheets>
    <sheet name="入力" sheetId="1" r:id="rId1"/>
    <sheet name="結果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2" l="1"/>
  <c r="B16" i="2"/>
  <c r="B15" i="2"/>
  <c r="B14" i="2"/>
  <c r="B13" i="2"/>
  <c r="B12" i="2"/>
  <c r="B11" i="2"/>
  <c r="B10" i="2"/>
  <c r="B7" i="2"/>
  <c r="B6" i="2"/>
  <c r="B5" i="2"/>
  <c r="B4" i="2"/>
  <c r="B3" i="2"/>
</calcChain>
</file>

<file path=xl/sharedStrings.xml><?xml version="1.0" encoding="utf-8"?>
<sst xmlns="http://schemas.openxmlformats.org/spreadsheetml/2006/main" count="70" uniqueCount="42">
  <si>
    <t>筋肉</t>
  </si>
  <si>
    <t>支配神経</t>
  </si>
  <si>
    <t>C5</t>
  </si>
  <si>
    <t>C6</t>
  </si>
  <si>
    <t>C7</t>
  </si>
  <si>
    <t>C8</t>
  </si>
  <si>
    <t>T1</t>
  </si>
  <si>
    <t>MMT</t>
  </si>
  <si>
    <t>前鋸筋</t>
  </si>
  <si>
    <t>長胸神経</t>
  </si>
  <si>
    <t>棘下筋</t>
  </si>
  <si>
    <t>肩甲上神経</t>
  </si>
  <si>
    <t>広背筋</t>
  </si>
  <si>
    <t>胸背神経</t>
  </si>
  <si>
    <t>三角筋</t>
  </si>
  <si>
    <t>腋窩神経</t>
  </si>
  <si>
    <t>上腕二頭筋</t>
  </si>
  <si>
    <t>筋皮神経</t>
  </si>
  <si>
    <t>上腕三頭筋</t>
  </si>
  <si>
    <t>橈骨神経</t>
  </si>
  <si>
    <t>腕橈骨筋</t>
  </si>
  <si>
    <t>総指伸筋</t>
  </si>
  <si>
    <t>尺側手根伸筋</t>
  </si>
  <si>
    <t>長母指伸筋</t>
  </si>
  <si>
    <t>短母指伸筋</t>
  </si>
  <si>
    <t>円回内筋</t>
  </si>
  <si>
    <t>正中神経</t>
  </si>
  <si>
    <t>浅指屈筋</t>
  </si>
  <si>
    <t>深指屈筋(示)</t>
  </si>
  <si>
    <t>長母指屈筋</t>
  </si>
  <si>
    <t>方形回内筋</t>
  </si>
  <si>
    <t>短母指外転筋</t>
  </si>
  <si>
    <t>深指屈筋(小)</t>
  </si>
  <si>
    <t>尺骨神経</t>
  </si>
  <si>
    <t>小指外転筋</t>
  </si>
  <si>
    <t>手関節伸展(橈側手根伸筋)</t>
  </si>
  <si>
    <t>手関節屈曲(尺側手根屈筋)</t>
  </si>
  <si>
    <t>第一背側骨間筋</t>
  </si>
  <si>
    <t>第一掌側骨間筋</t>
  </si>
  <si>
    <t>脊髄レベル</t>
  </si>
  <si>
    <t>神経名</t>
  </si>
  <si>
    <t>MMT≦4 の筋数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</si>
</sst>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putTable" displayName="InputTable" ref="A1:H24">
  <autoFilter ref="A1:H24" xr:uid="{00000000-0009-0000-0100-000001000000}"/>
  <tableColumns count="8">
    <tableColumn id="1" xr3:uid="{00000000-0010-0000-0000-000001000000}" name="筋肉"/>
    <tableColumn id="2" xr3:uid="{00000000-0010-0000-0000-000002000000}" name="支配神経"/>
    <tableColumn id="3" xr3:uid="{00000000-0010-0000-0000-000003000000}" name="C5"/>
    <tableColumn id="4" xr3:uid="{00000000-0010-0000-0000-000004000000}" name="C6"/>
    <tableColumn id="5" xr3:uid="{00000000-0010-0000-0000-000005000000}" name="C7"/>
    <tableColumn id="6" xr3:uid="{00000000-0010-0000-0000-000006000000}" name="C8"/>
    <tableColumn id="7" xr3:uid="{00000000-0010-0000-0000-000007000000}" name="T1"/>
    <tableColumn id="8" xr3:uid="{00000000-0010-0000-0000-000008000000}" name="MM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>
      <pane ySplit="1" topLeftCell="A2" activePane="bottomLeft" state="frozen"/>
      <selection pane="bottomLeft" activeCell="H8" sqref="H8"/>
    </sheetView>
  </sheetViews>
  <sheetFormatPr defaultRowHeight="12.75" x14ac:dyDescent="0.25"/>
  <cols>
    <col min="1" max="1" width="22" customWidth="1"/>
    <col min="2" max="2" width="15" customWidth="1"/>
    <col min="3" max="7" width="4" customWidth="1"/>
    <col min="8" max="8" width="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2</v>
      </c>
      <c r="D2">
        <v>1</v>
      </c>
      <c r="E2">
        <v>1</v>
      </c>
      <c r="F2">
        <v>0</v>
      </c>
      <c r="G2">
        <v>0</v>
      </c>
    </row>
    <row r="3" spans="1:8" x14ac:dyDescent="0.25">
      <c r="A3" t="s">
        <v>10</v>
      </c>
      <c r="B3" t="s">
        <v>11</v>
      </c>
      <c r="C3">
        <v>4</v>
      </c>
      <c r="D3">
        <v>3</v>
      </c>
      <c r="E3">
        <v>0</v>
      </c>
      <c r="F3">
        <v>0</v>
      </c>
      <c r="G3">
        <v>0</v>
      </c>
    </row>
    <row r="4" spans="1:8" x14ac:dyDescent="0.25">
      <c r="A4" t="s">
        <v>12</v>
      </c>
      <c r="B4" t="s">
        <v>13</v>
      </c>
      <c r="C4">
        <v>0</v>
      </c>
      <c r="D4">
        <v>1</v>
      </c>
      <c r="E4">
        <v>4</v>
      </c>
      <c r="F4">
        <v>1</v>
      </c>
      <c r="G4">
        <v>0</v>
      </c>
    </row>
    <row r="5" spans="1:8" x14ac:dyDescent="0.25">
      <c r="A5" t="s">
        <v>14</v>
      </c>
      <c r="B5" t="s">
        <v>15</v>
      </c>
      <c r="C5">
        <v>4</v>
      </c>
      <c r="D5">
        <v>1</v>
      </c>
      <c r="E5">
        <v>0</v>
      </c>
      <c r="F5">
        <v>0</v>
      </c>
      <c r="G5">
        <v>0</v>
      </c>
    </row>
    <row r="6" spans="1:8" x14ac:dyDescent="0.25">
      <c r="A6" t="s">
        <v>16</v>
      </c>
      <c r="B6" t="s">
        <v>17</v>
      </c>
      <c r="C6">
        <v>4</v>
      </c>
      <c r="D6">
        <v>3</v>
      </c>
      <c r="E6">
        <v>0</v>
      </c>
      <c r="F6">
        <v>0</v>
      </c>
      <c r="G6">
        <v>0</v>
      </c>
    </row>
    <row r="7" spans="1:8" x14ac:dyDescent="0.25">
      <c r="A7" t="s">
        <v>18</v>
      </c>
      <c r="B7" t="s">
        <v>19</v>
      </c>
      <c r="C7">
        <v>0</v>
      </c>
      <c r="D7">
        <v>1</v>
      </c>
      <c r="E7">
        <v>4</v>
      </c>
      <c r="F7">
        <v>3</v>
      </c>
      <c r="G7">
        <v>0</v>
      </c>
    </row>
    <row r="8" spans="1:8" x14ac:dyDescent="0.25">
      <c r="A8" t="s">
        <v>20</v>
      </c>
      <c r="B8" t="s">
        <v>19</v>
      </c>
      <c r="C8">
        <v>4</v>
      </c>
      <c r="D8">
        <v>1</v>
      </c>
      <c r="E8">
        <v>0</v>
      </c>
      <c r="F8">
        <v>0</v>
      </c>
      <c r="G8">
        <v>0</v>
      </c>
    </row>
    <row r="9" spans="1:8" x14ac:dyDescent="0.25">
      <c r="A9" t="s">
        <v>21</v>
      </c>
      <c r="B9" t="s">
        <v>19</v>
      </c>
      <c r="C9">
        <v>0</v>
      </c>
      <c r="D9">
        <v>0</v>
      </c>
      <c r="E9">
        <v>3</v>
      </c>
      <c r="F9">
        <v>4</v>
      </c>
      <c r="G9">
        <v>0</v>
      </c>
    </row>
    <row r="10" spans="1:8" x14ac:dyDescent="0.25">
      <c r="A10" t="s">
        <v>22</v>
      </c>
      <c r="B10" t="s">
        <v>19</v>
      </c>
      <c r="C10">
        <v>0</v>
      </c>
      <c r="D10">
        <v>1</v>
      </c>
      <c r="E10">
        <v>4</v>
      </c>
      <c r="F10">
        <v>0</v>
      </c>
      <c r="G10">
        <v>0</v>
      </c>
    </row>
    <row r="11" spans="1:8" x14ac:dyDescent="0.25">
      <c r="A11" t="s">
        <v>23</v>
      </c>
      <c r="B11" t="s">
        <v>19</v>
      </c>
      <c r="C11">
        <v>0</v>
      </c>
      <c r="D11">
        <v>0</v>
      </c>
      <c r="E11">
        <v>1</v>
      </c>
      <c r="F11">
        <v>4</v>
      </c>
      <c r="G11">
        <v>1</v>
      </c>
    </row>
    <row r="12" spans="1:8" x14ac:dyDescent="0.25">
      <c r="A12" t="s">
        <v>24</v>
      </c>
      <c r="B12" t="s">
        <v>19</v>
      </c>
      <c r="C12">
        <v>0</v>
      </c>
      <c r="D12">
        <v>0</v>
      </c>
      <c r="E12">
        <v>1</v>
      </c>
      <c r="F12">
        <v>4</v>
      </c>
      <c r="G12">
        <v>1</v>
      </c>
    </row>
    <row r="13" spans="1:8" x14ac:dyDescent="0.25">
      <c r="A13" t="s">
        <v>25</v>
      </c>
      <c r="B13" t="s">
        <v>26</v>
      </c>
      <c r="C13">
        <v>0</v>
      </c>
      <c r="D13">
        <v>4</v>
      </c>
      <c r="E13">
        <v>1</v>
      </c>
      <c r="F13">
        <v>0</v>
      </c>
      <c r="G13">
        <v>0</v>
      </c>
    </row>
    <row r="14" spans="1:8" x14ac:dyDescent="0.25">
      <c r="A14" t="s">
        <v>27</v>
      </c>
      <c r="B14" t="s">
        <v>26</v>
      </c>
      <c r="C14">
        <v>0</v>
      </c>
      <c r="D14">
        <v>0</v>
      </c>
      <c r="E14">
        <v>0</v>
      </c>
      <c r="F14">
        <v>0</v>
      </c>
      <c r="G14">
        <v>4</v>
      </c>
    </row>
    <row r="15" spans="1:8" x14ac:dyDescent="0.25">
      <c r="A15" t="s">
        <v>28</v>
      </c>
      <c r="B15" t="s">
        <v>26</v>
      </c>
      <c r="C15">
        <v>0</v>
      </c>
      <c r="D15">
        <v>0</v>
      </c>
      <c r="E15">
        <v>0</v>
      </c>
      <c r="F15">
        <v>1</v>
      </c>
      <c r="G15">
        <v>4</v>
      </c>
    </row>
    <row r="16" spans="1:8" x14ac:dyDescent="0.25">
      <c r="A16" t="s">
        <v>29</v>
      </c>
      <c r="B16" t="s">
        <v>26</v>
      </c>
      <c r="C16">
        <v>0</v>
      </c>
      <c r="D16">
        <v>0</v>
      </c>
      <c r="E16">
        <v>0</v>
      </c>
      <c r="F16">
        <v>3</v>
      </c>
      <c r="G16">
        <v>4</v>
      </c>
    </row>
    <row r="17" spans="1:7" x14ac:dyDescent="0.25">
      <c r="A17" t="s">
        <v>30</v>
      </c>
      <c r="B17" t="s">
        <v>26</v>
      </c>
      <c r="C17">
        <v>0</v>
      </c>
      <c r="D17">
        <v>0</v>
      </c>
      <c r="E17">
        <v>0</v>
      </c>
      <c r="F17">
        <v>1</v>
      </c>
      <c r="G17">
        <v>4</v>
      </c>
    </row>
    <row r="18" spans="1:7" x14ac:dyDescent="0.25">
      <c r="A18" t="s">
        <v>31</v>
      </c>
      <c r="B18" t="s">
        <v>26</v>
      </c>
      <c r="C18">
        <v>0</v>
      </c>
      <c r="D18">
        <v>0</v>
      </c>
      <c r="E18">
        <v>0</v>
      </c>
      <c r="F18">
        <v>1</v>
      </c>
      <c r="G18">
        <v>4</v>
      </c>
    </row>
    <row r="19" spans="1:7" x14ac:dyDescent="0.25">
      <c r="A19" t="s">
        <v>32</v>
      </c>
      <c r="B19" t="s">
        <v>33</v>
      </c>
      <c r="C19">
        <v>0</v>
      </c>
      <c r="D19">
        <v>0</v>
      </c>
      <c r="E19">
        <v>0</v>
      </c>
      <c r="F19">
        <v>4</v>
      </c>
      <c r="G19">
        <v>0</v>
      </c>
    </row>
    <row r="20" spans="1:7" x14ac:dyDescent="0.25">
      <c r="A20" t="s">
        <v>34</v>
      </c>
      <c r="B20" t="s">
        <v>33</v>
      </c>
      <c r="C20">
        <v>0</v>
      </c>
      <c r="D20">
        <v>0</v>
      </c>
      <c r="E20">
        <v>0</v>
      </c>
      <c r="F20">
        <v>4</v>
      </c>
      <c r="G20">
        <v>4</v>
      </c>
    </row>
    <row r="21" spans="1:7" x14ac:dyDescent="0.25">
      <c r="A21" t="s">
        <v>35</v>
      </c>
      <c r="B21" t="s">
        <v>33</v>
      </c>
      <c r="C21">
        <v>0</v>
      </c>
      <c r="D21">
        <v>4</v>
      </c>
      <c r="E21">
        <v>0</v>
      </c>
      <c r="F21">
        <v>0</v>
      </c>
      <c r="G21">
        <v>0</v>
      </c>
    </row>
    <row r="22" spans="1:7" x14ac:dyDescent="0.25">
      <c r="A22" t="s">
        <v>36</v>
      </c>
      <c r="B22" t="s">
        <v>33</v>
      </c>
      <c r="C22">
        <v>0</v>
      </c>
      <c r="D22">
        <v>0</v>
      </c>
      <c r="E22">
        <v>4</v>
      </c>
      <c r="F22">
        <v>3</v>
      </c>
      <c r="G22">
        <v>1</v>
      </c>
    </row>
    <row r="23" spans="1:7" x14ac:dyDescent="0.25">
      <c r="A23" t="s">
        <v>37</v>
      </c>
      <c r="B23" t="s">
        <v>33</v>
      </c>
      <c r="C23">
        <v>0</v>
      </c>
      <c r="D23">
        <v>0</v>
      </c>
      <c r="E23">
        <v>0</v>
      </c>
      <c r="F23">
        <v>4</v>
      </c>
      <c r="G23">
        <v>2</v>
      </c>
    </row>
    <row r="24" spans="1:7" x14ac:dyDescent="0.25">
      <c r="A24" t="s">
        <v>38</v>
      </c>
      <c r="B24" t="s">
        <v>33</v>
      </c>
      <c r="C24">
        <v>0</v>
      </c>
      <c r="D24">
        <v>0</v>
      </c>
      <c r="E24">
        <v>0</v>
      </c>
      <c r="F24">
        <v>3</v>
      </c>
      <c r="G24">
        <v>2</v>
      </c>
    </row>
  </sheetData>
  <phoneticPr fontId="2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17"/>
  <sheetViews>
    <sheetView tabSelected="1" workbookViewId="0"/>
  </sheetViews>
  <sheetFormatPr defaultRowHeight="12.75" x14ac:dyDescent="0.25"/>
  <cols>
    <col min="1" max="1" width="24" customWidth="1"/>
    <col min="2" max="2" width="20" customWidth="1"/>
  </cols>
  <sheetData>
    <row r="2" spans="1:2" x14ac:dyDescent="0.25">
      <c r="A2" s="2" t="s">
        <v>39</v>
      </c>
      <c r="B2" s="2"/>
    </row>
    <row r="3" spans="1:2" x14ac:dyDescent="0.25">
      <c r="A3" s="3" t="s">
        <v>2</v>
      </c>
      <c r="B3" s="3">
        <f>SUMPRODUCT((入力!$H$2:$H$24&lt;&gt;"" )*(5-入力!$H$2:$H$24)*入力!$C$2:$C$24)</f>
        <v>0</v>
      </c>
    </row>
    <row r="4" spans="1:2" x14ac:dyDescent="0.25">
      <c r="A4" s="3" t="s">
        <v>3</v>
      </c>
      <c r="B4" s="3">
        <f>SUMPRODUCT((入力!$H$2:$H$24&lt;&gt;"" )*(5-入力!$H$2:$H$24)*入力!$D$2:$D$24)</f>
        <v>0</v>
      </c>
    </row>
    <row r="5" spans="1:2" x14ac:dyDescent="0.25">
      <c r="A5" s="3" t="s">
        <v>4</v>
      </c>
      <c r="B5" s="3">
        <f>SUMPRODUCT((入力!$H$2:$H$24&lt;&gt;"" )*(5-入力!$H$2:$H$24)*入力!$E$2:$E$24)</f>
        <v>0</v>
      </c>
    </row>
    <row r="6" spans="1:2" x14ac:dyDescent="0.25">
      <c r="A6" s="3" t="s">
        <v>5</v>
      </c>
      <c r="B6" s="3">
        <f>SUMPRODUCT((入力!$H$2:$H$24&lt;&gt;"" )*(5-入力!$H$2:$H$24)*入力!$F$2:$F$24)</f>
        <v>0</v>
      </c>
    </row>
    <row r="7" spans="1:2" x14ac:dyDescent="0.25">
      <c r="A7" s="3" t="s">
        <v>6</v>
      </c>
      <c r="B7" s="3">
        <f>SUMPRODUCT((入力!$H$2:$H$24&lt;&gt;"" )*(5-入力!$H$2:$H$24)*入力!$G$2:$G$24)</f>
        <v>0</v>
      </c>
    </row>
    <row r="8" spans="1:2" x14ac:dyDescent="0.25">
      <c r="A8" s="3"/>
      <c r="B8" s="3"/>
    </row>
    <row r="9" spans="1:2" x14ac:dyDescent="0.25">
      <c r="A9" s="2" t="s">
        <v>40</v>
      </c>
      <c r="B9" s="2" t="s">
        <v>41</v>
      </c>
    </row>
    <row r="10" spans="1:2" x14ac:dyDescent="0.25">
      <c r="A10" s="3" t="s">
        <v>9</v>
      </c>
      <c r="B10" s="3">
        <f>COUNTIFS(入力!$B$2:$B$24,"=長胸神経",入力!$H$2:$H$24,"&lt;=4",入力!$H$2:$H$24,"&lt;&gt;")</f>
        <v>0</v>
      </c>
    </row>
    <row r="11" spans="1:2" x14ac:dyDescent="0.25">
      <c r="A11" s="3" t="s">
        <v>11</v>
      </c>
      <c r="B11" s="3">
        <f>COUNTIFS(入力!$B$2:$B$24,"=肩甲上神経",入力!$H$2:$H$24,"&lt;=4",入力!$H$2:$H$24,"&lt;&gt;")</f>
        <v>0</v>
      </c>
    </row>
    <row r="12" spans="1:2" x14ac:dyDescent="0.25">
      <c r="A12" s="3" t="s">
        <v>13</v>
      </c>
      <c r="B12" s="3">
        <f>COUNTIFS(入力!$B$2:$B$24,"=胸背神経",入力!$H$2:$H$24,"&lt;=4",入力!$H$2:$H$24,"&lt;&gt;")</f>
        <v>0</v>
      </c>
    </row>
    <row r="13" spans="1:2" x14ac:dyDescent="0.25">
      <c r="A13" s="3" t="s">
        <v>15</v>
      </c>
      <c r="B13" s="3">
        <f>COUNTIFS(入力!$B$2:$B$24,"=腋窩神経",入力!$H$2:$H$24,"&lt;=4",入力!$H$2:$H$24,"&lt;&gt;")</f>
        <v>0</v>
      </c>
    </row>
    <row r="14" spans="1:2" x14ac:dyDescent="0.25">
      <c r="A14" s="3" t="s">
        <v>17</v>
      </c>
      <c r="B14" s="3">
        <f>COUNTIFS(入力!$B$2:$B$24,"=筋皮神経",入力!$H$2:$H$24,"&lt;=4",入力!$H$2:$H$24,"&lt;&gt;")</f>
        <v>0</v>
      </c>
    </row>
    <row r="15" spans="1:2" x14ac:dyDescent="0.25">
      <c r="A15" s="3" t="s">
        <v>19</v>
      </c>
      <c r="B15" s="3">
        <f>COUNTIFS(入力!$B$2:$B$24,"=橈骨神経",入力!$H$2:$H$24,"&lt;=4",入力!$H$2:$H$24,"&lt;&gt;")</f>
        <v>0</v>
      </c>
    </row>
    <row r="16" spans="1:2" x14ac:dyDescent="0.25">
      <c r="A16" s="3" t="s">
        <v>26</v>
      </c>
      <c r="B16" s="3">
        <f>COUNTIFS(入力!$B$2:$B$24,"=正中神経",入力!$H$2:$H$24,"&lt;=4",入力!$H$2:$H$24,"&lt;&gt;")</f>
        <v>0</v>
      </c>
    </row>
    <row r="17" spans="1:2" x14ac:dyDescent="0.25">
      <c r="A17" s="3" t="s">
        <v>33</v>
      </c>
      <c r="B17" s="3">
        <f>COUNTIFS(入力!$B$2:$B$24,"=尺骨神経",入力!$H$2:$H$24,"&lt;=4",入力!$H$2:$H$24,"&lt;&gt;")</f>
        <v>0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入力</vt:lpstr>
      <vt:lpstr>結果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久司 今村</cp:lastModifiedBy>
  <dcterms:created xsi:type="dcterms:W3CDTF">2025-04-29T19:58:54Z</dcterms:created>
  <dcterms:modified xsi:type="dcterms:W3CDTF">2025-04-30T02:14:26Z</dcterms:modified>
</cp:coreProperties>
</file>