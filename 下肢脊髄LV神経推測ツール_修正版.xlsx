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入力" sheetId="1" state="visible" r:id="rId1"/>
    <sheet xmlns:r="http://schemas.openxmlformats.org/officeDocument/2006/relationships" name="結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b val="1"/>
      <color rgb="00FFFFFF"/>
      <sz val="11"/>
    </font>
    <font>
      <name val="游ゴシック"/>
      <b val="1"/>
      <sz val="11"/>
    </font>
    <font>
      <name val="游ゴシック"/>
      <sz val="11"/>
    </font>
    <font>
      <name val="游ゴシック"/>
      <b val="1"/>
      <color rgb="000000FF"/>
      <sz val="12"/>
    </font>
    <font>
      <name val="游ゴシック"/>
      <color rgb="00333333"/>
      <sz val="11"/>
    </font>
    <font>
      <name val="游ゴシック"/>
      <color rgb="00999999"/>
      <sz val="11"/>
    </font>
    <font>
      <name val="游ゴシック"/>
      <b val="1"/>
      <color rgb="001B3A5C"/>
      <sz val="11"/>
    </font>
    <font>
      <name val="游ゴシック"/>
      <b val="1"/>
      <color rgb="001B3A5C"/>
      <sz val="14"/>
    </font>
    <font>
      <name val="游ゴシック"/>
      <b val="1"/>
      <color rgb="00DC3545"/>
      <sz val="12"/>
    </font>
    <font>
      <name val="游ゴシック"/>
      <color rgb="00888888"/>
      <sz val="10"/>
    </font>
  </fonts>
  <fills count="11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2C5AA0"/>
      </patternFill>
    </fill>
    <fill>
      <patternFill patternType="solid">
        <fgColor rgb="00E8F0FE"/>
      </patternFill>
    </fill>
    <fill>
      <patternFill patternType="solid">
        <fgColor rgb="00FFFFF0"/>
      </patternFill>
    </fill>
    <fill>
      <patternFill patternType="solid">
        <fgColor rgb="00DCEEFB"/>
      </patternFill>
    </fill>
    <fill>
      <patternFill patternType="solid">
        <fgColor rgb="00FFFFFF"/>
      </patternFill>
    </fill>
    <fill>
      <patternFill patternType="solid">
        <fgColor rgb="002171B5"/>
      </patternFill>
    </fill>
    <fill>
      <patternFill patternType="solid">
        <fgColor rgb="00B0D4F1"/>
      </patternFill>
    </fill>
    <fill>
      <patternFill patternType="solid">
        <fgColor rgb="006BAED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8" fillId="0" borderId="0" pivotButton="0" quotePrefix="0" xfId="0"/>
    <xf numFmtId="0" fontId="2" fillId="3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  <xf numFmtId="0" fontId="3" fillId="0" borderId="1" pivotButton="0" quotePrefix="0" xfId="0"/>
    <xf numFmtId="0" fontId="10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6" customHeight="1">
      <c r="A1" s="1" t="inlineStr">
        <is>
          <t>下肢 神経障害部位推測ツール（修正版）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8" customHeight="1">
      <c r="A2" s="3" t="inlineStr">
        <is>
          <t>筋肉名</t>
        </is>
      </c>
      <c r="B2" s="3" t="inlineStr">
        <is>
          <t>支配神経</t>
        </is>
      </c>
      <c r="C2" s="3" t="inlineStr">
        <is>
          <t>MMT(0-5)</t>
        </is>
      </c>
      <c r="D2" s="3" t="inlineStr">
        <is>
          <t>L1</t>
        </is>
      </c>
      <c r="E2" s="3" t="inlineStr">
        <is>
          <t>L2</t>
        </is>
      </c>
      <c r="F2" s="3" t="inlineStr">
        <is>
          <t>L3</t>
        </is>
      </c>
      <c r="G2" s="3" t="inlineStr">
        <is>
          <t>L4</t>
        </is>
      </c>
      <c r="H2" s="3" t="inlineStr">
        <is>
          <t>L5</t>
        </is>
      </c>
      <c r="I2" s="3" t="inlineStr">
        <is>
          <t>S1</t>
        </is>
      </c>
      <c r="J2" s="3" t="inlineStr">
        <is>
          <t>S2</t>
        </is>
      </c>
    </row>
    <row r="3">
      <c r="A3" s="4" t="inlineStr">
        <is>
          <t>腸腰筋</t>
        </is>
      </c>
      <c r="B3" s="5" t="inlineStr">
        <is>
          <t>大腿神経/腰神経叢</t>
        </is>
      </c>
      <c r="C3" s="6" t="n">
        <v>5</v>
      </c>
      <c r="D3" s="7" t="n">
        <v>1</v>
      </c>
      <c r="E3" s="7" t="n">
        <v>1</v>
      </c>
      <c r="F3" s="7" t="n">
        <v>1</v>
      </c>
      <c r="G3" s="8" t="n">
        <v>0</v>
      </c>
      <c r="H3" s="8" t="n">
        <v>0</v>
      </c>
      <c r="I3" s="8" t="n">
        <v>0</v>
      </c>
      <c r="J3" s="8" t="n">
        <v>0</v>
      </c>
    </row>
    <row r="4">
      <c r="A4" s="4" t="inlineStr">
        <is>
          <t>中殿筋</t>
        </is>
      </c>
      <c r="B4" s="5" t="inlineStr">
        <is>
          <t>上殿神経</t>
        </is>
      </c>
      <c r="C4" s="6" t="n">
        <v>5</v>
      </c>
      <c r="D4" s="8" t="n">
        <v>0</v>
      </c>
      <c r="E4" s="8" t="n">
        <v>0</v>
      </c>
      <c r="F4" s="8" t="n">
        <v>0</v>
      </c>
      <c r="G4" s="7" t="n">
        <v>1</v>
      </c>
      <c r="H4" s="9" t="n">
        <v>4</v>
      </c>
      <c r="I4" s="7" t="n">
        <v>1</v>
      </c>
      <c r="J4" s="8" t="n">
        <v>0</v>
      </c>
    </row>
    <row r="5">
      <c r="A5" s="4" t="inlineStr">
        <is>
          <t>大殿筋</t>
        </is>
      </c>
      <c r="B5" s="5" t="inlineStr">
        <is>
          <t>下殿神経</t>
        </is>
      </c>
      <c r="C5" s="6" t="n">
        <v>5</v>
      </c>
      <c r="D5" s="8" t="n">
        <v>0</v>
      </c>
      <c r="E5" s="8" t="n">
        <v>0</v>
      </c>
      <c r="F5" s="8" t="n">
        <v>0</v>
      </c>
      <c r="G5" s="8" t="n">
        <v>0</v>
      </c>
      <c r="H5" s="7" t="n">
        <v>1</v>
      </c>
      <c r="I5" s="10" t="n">
        <v>2</v>
      </c>
      <c r="J5" s="7" t="n">
        <v>1</v>
      </c>
    </row>
    <row r="6">
      <c r="A6" s="4" t="inlineStr">
        <is>
          <t>前脛骨筋</t>
        </is>
      </c>
      <c r="B6" s="5" t="inlineStr">
        <is>
          <t>深腓骨神経</t>
        </is>
      </c>
      <c r="C6" s="6" t="n">
        <v>5</v>
      </c>
      <c r="D6" s="8" t="n">
        <v>0</v>
      </c>
      <c r="E6" s="8" t="n">
        <v>0</v>
      </c>
      <c r="F6" s="8" t="n">
        <v>0</v>
      </c>
      <c r="G6" s="10" t="n">
        <v>2</v>
      </c>
      <c r="H6" s="9" t="n">
        <v>4</v>
      </c>
      <c r="I6" s="8" t="n">
        <v>0</v>
      </c>
      <c r="J6" s="8" t="n">
        <v>0</v>
      </c>
    </row>
    <row r="7">
      <c r="A7" s="4" t="inlineStr">
        <is>
          <t>後脛骨筋</t>
        </is>
      </c>
      <c r="B7" s="5" t="inlineStr">
        <is>
          <t>脛骨神経</t>
        </is>
      </c>
      <c r="C7" s="6" t="n">
        <v>5</v>
      </c>
      <c r="D7" s="8" t="n">
        <v>0</v>
      </c>
      <c r="E7" s="8" t="n">
        <v>0</v>
      </c>
      <c r="F7" s="8" t="n">
        <v>0</v>
      </c>
      <c r="G7" s="7" t="n">
        <v>1</v>
      </c>
      <c r="H7" s="9" t="n">
        <v>4</v>
      </c>
      <c r="I7" s="8" t="n">
        <v>0</v>
      </c>
      <c r="J7" s="8" t="n">
        <v>0</v>
      </c>
    </row>
    <row r="8">
      <c r="A8" s="4" t="inlineStr">
        <is>
          <t>長趾屈筋</t>
        </is>
      </c>
      <c r="B8" s="5" t="inlineStr">
        <is>
          <t>脛骨神経</t>
        </is>
      </c>
      <c r="C8" s="6" t="n">
        <v>5</v>
      </c>
      <c r="D8" s="8" t="n">
        <v>0</v>
      </c>
      <c r="E8" s="8" t="n">
        <v>0</v>
      </c>
      <c r="F8" s="8" t="n">
        <v>0</v>
      </c>
      <c r="G8" s="8" t="n">
        <v>0</v>
      </c>
      <c r="H8" s="9" t="n">
        <v>4</v>
      </c>
      <c r="I8" s="10" t="n">
        <v>2</v>
      </c>
      <c r="J8" s="8" t="n">
        <v>0</v>
      </c>
    </row>
    <row r="9">
      <c r="A9" s="4" t="inlineStr">
        <is>
          <t>内転筋群</t>
        </is>
      </c>
      <c r="B9" s="5" t="inlineStr">
        <is>
          <t>閉鎖神経</t>
        </is>
      </c>
      <c r="C9" s="6" t="n">
        <v>5</v>
      </c>
      <c r="D9" s="8" t="n">
        <v>0</v>
      </c>
      <c r="E9" s="10" t="n">
        <v>2</v>
      </c>
      <c r="F9" s="10" t="n">
        <v>2</v>
      </c>
      <c r="G9" s="10" t="n">
        <v>2</v>
      </c>
      <c r="H9" s="8" t="n">
        <v>0</v>
      </c>
      <c r="I9" s="8" t="n">
        <v>0</v>
      </c>
      <c r="J9" s="8" t="n">
        <v>0</v>
      </c>
    </row>
    <row r="10">
      <c r="A10" s="4" t="inlineStr">
        <is>
          <t>大腿四頭筋</t>
        </is>
      </c>
      <c r="B10" s="5" t="inlineStr">
        <is>
          <t>大腿神経</t>
        </is>
      </c>
      <c r="C10" s="6" t="n">
        <v>5</v>
      </c>
      <c r="D10" s="8" t="n">
        <v>0</v>
      </c>
      <c r="E10" s="8" t="n">
        <v>0</v>
      </c>
      <c r="F10" s="11" t="n">
        <v>3</v>
      </c>
      <c r="G10" s="11" t="n">
        <v>3</v>
      </c>
      <c r="H10" s="8" t="n">
        <v>0</v>
      </c>
      <c r="I10" s="8" t="n">
        <v>0</v>
      </c>
      <c r="J10" s="8" t="n">
        <v>0</v>
      </c>
    </row>
    <row r="11">
      <c r="A11" s="4" t="inlineStr">
        <is>
          <t>大腿屈筋群</t>
        </is>
      </c>
      <c r="B11" s="5" t="inlineStr">
        <is>
          <t>脛骨神経/総腓骨神経</t>
        </is>
      </c>
      <c r="C11" s="6" t="n">
        <v>5</v>
      </c>
      <c r="D11" s="8" t="n">
        <v>0</v>
      </c>
      <c r="E11" s="8" t="n">
        <v>0</v>
      </c>
      <c r="F11" s="8" t="n">
        <v>0</v>
      </c>
      <c r="G11" s="8" t="n">
        <v>0</v>
      </c>
      <c r="H11" s="10" t="n">
        <v>2</v>
      </c>
      <c r="I11" s="10" t="n">
        <v>2</v>
      </c>
      <c r="J11" s="7" t="n">
        <v>1</v>
      </c>
    </row>
    <row r="12">
      <c r="A12" s="4" t="inlineStr">
        <is>
          <t>足趾背屈</t>
        </is>
      </c>
      <c r="B12" s="5" t="inlineStr">
        <is>
          <t>深腓骨神経</t>
        </is>
      </c>
      <c r="C12" s="6" t="n">
        <v>5</v>
      </c>
      <c r="D12" s="8" t="n">
        <v>0</v>
      </c>
      <c r="E12" s="8" t="n">
        <v>0</v>
      </c>
      <c r="F12" s="8" t="n">
        <v>0</v>
      </c>
      <c r="G12" s="8" t="n">
        <v>0</v>
      </c>
      <c r="H12" s="9" t="n">
        <v>4</v>
      </c>
      <c r="I12" s="8" t="n">
        <v>0</v>
      </c>
      <c r="J12" s="8" t="n">
        <v>0</v>
      </c>
    </row>
    <row r="13">
      <c r="A13" s="4" t="inlineStr">
        <is>
          <t>母趾背屈</t>
        </is>
      </c>
      <c r="B13" s="5" t="inlineStr">
        <is>
          <t>深腓骨神経</t>
        </is>
      </c>
      <c r="C13" s="6" t="n">
        <v>5</v>
      </c>
      <c r="D13" s="8" t="n">
        <v>0</v>
      </c>
      <c r="E13" s="8" t="n">
        <v>0</v>
      </c>
      <c r="F13" s="8" t="n">
        <v>0</v>
      </c>
      <c r="G13" s="8" t="n">
        <v>0</v>
      </c>
      <c r="H13" s="9" t="n">
        <v>4</v>
      </c>
      <c r="I13" s="8" t="n">
        <v>0</v>
      </c>
      <c r="J13" s="8" t="n">
        <v>0</v>
      </c>
    </row>
    <row r="14">
      <c r="A14" s="4" t="inlineStr">
        <is>
          <t>腓骨筋群</t>
        </is>
      </c>
      <c r="B14" s="5" t="inlineStr">
        <is>
          <t>浅腓骨神経</t>
        </is>
      </c>
      <c r="C14" s="6" t="n">
        <v>5</v>
      </c>
      <c r="D14" s="8" t="n">
        <v>0</v>
      </c>
      <c r="E14" s="8" t="n">
        <v>0</v>
      </c>
      <c r="F14" s="8" t="n">
        <v>0</v>
      </c>
      <c r="G14" s="8" t="n">
        <v>0</v>
      </c>
      <c r="H14" s="9" t="n">
        <v>4</v>
      </c>
      <c r="I14" s="7" t="n">
        <v>1</v>
      </c>
      <c r="J14" s="8" t="n">
        <v>0</v>
      </c>
    </row>
    <row r="15">
      <c r="A15" s="4" t="inlineStr">
        <is>
          <t>下腿三頭筋</t>
        </is>
      </c>
      <c r="B15" s="5" t="inlineStr">
        <is>
          <t>脛骨神経</t>
        </is>
      </c>
      <c r="C15" s="6" t="n">
        <v>5</v>
      </c>
      <c r="D15" s="8" t="n">
        <v>0</v>
      </c>
      <c r="E15" s="8" t="n">
        <v>0</v>
      </c>
      <c r="F15" s="8" t="n">
        <v>0</v>
      </c>
      <c r="G15" s="8" t="n">
        <v>0</v>
      </c>
      <c r="H15" s="10" t="n">
        <v>2</v>
      </c>
      <c r="I15" s="9" t="n">
        <v>4</v>
      </c>
      <c r="J15" s="8" t="n">
        <v>0</v>
      </c>
    </row>
    <row r="16">
      <c r="A16" s="4" t="inlineStr">
        <is>
          <t>短趾屈筋</t>
        </is>
      </c>
      <c r="B16" s="5" t="inlineStr">
        <is>
          <t>脛骨神経</t>
        </is>
      </c>
      <c r="C16" s="6" t="n">
        <v>5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9" t="n">
        <v>4</v>
      </c>
      <c r="J16" s="10" t="n">
        <v>2</v>
      </c>
    </row>
    <row r="17">
      <c r="A17" s="4" t="inlineStr">
        <is>
          <t>長母趾屈筋</t>
        </is>
      </c>
      <c r="B17" s="5" t="inlineStr">
        <is>
          <t>脛骨神経</t>
        </is>
      </c>
      <c r="C17" s="6" t="n">
        <v>5</v>
      </c>
      <c r="D17" s="8" t="n">
        <v>0</v>
      </c>
      <c r="E17" s="8" t="n">
        <v>0</v>
      </c>
      <c r="F17" s="8" t="n">
        <v>0</v>
      </c>
      <c r="G17" s="8" t="n">
        <v>0</v>
      </c>
      <c r="H17" s="9" t="n">
        <v>4</v>
      </c>
      <c r="I17" s="10" t="n">
        <v>2</v>
      </c>
      <c r="J17" s="8" t="n">
        <v>0</v>
      </c>
    </row>
    <row r="18">
      <c r="A18" s="4" t="inlineStr">
        <is>
          <t>短母趾屈筋</t>
        </is>
      </c>
      <c r="B18" s="5" t="inlineStr">
        <is>
          <t>脛骨神経</t>
        </is>
      </c>
      <c r="C18" s="6" t="n">
        <v>5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9" t="n">
        <v>4</v>
      </c>
      <c r="J18" s="10" t="n">
        <v>2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</cols>
  <sheetData>
    <row r="1" ht="36" customHeight="1">
      <c r="A1" s="1" t="inlineStr">
        <is>
          <t>解析結果</t>
        </is>
      </c>
      <c r="B1" s="2" t="n"/>
      <c r="C1" s="2" t="n"/>
      <c r="D1" s="2" t="n"/>
      <c r="E1" s="2" t="n"/>
      <c r="F1" s="2" t="n"/>
      <c r="G1" s="2" t="n"/>
    </row>
    <row r="3">
      <c r="A3" s="12" t="inlineStr">
        <is>
          <t>■ 脊髄レベル別スコア</t>
        </is>
      </c>
    </row>
    <row r="4">
      <c r="A4" s="13" t="inlineStr">
        <is>
          <t>L1</t>
        </is>
      </c>
      <c r="B4" s="13" t="inlineStr">
        <is>
          <t>L2</t>
        </is>
      </c>
      <c r="C4" s="13" t="inlineStr">
        <is>
          <t>L3</t>
        </is>
      </c>
      <c r="D4" s="13" t="inlineStr">
        <is>
          <t>L4</t>
        </is>
      </c>
      <c r="E4" s="13" t="inlineStr">
        <is>
          <t>L5</t>
        </is>
      </c>
      <c r="F4" s="13" t="inlineStr">
        <is>
          <t>S1</t>
        </is>
      </c>
      <c r="G4" s="13" t="inlineStr">
        <is>
          <t>S2</t>
        </is>
      </c>
    </row>
    <row r="5">
      <c r="A5" s="14">
        <f>SUMPRODUCT((5-入力!C3:C18)*入力!D3:D18)</f>
        <v/>
      </c>
      <c r="B5" s="14">
        <f>SUMPRODUCT((5-入力!C3:C18)*入力!E3:E18)</f>
        <v/>
      </c>
      <c r="C5" s="14">
        <f>SUMPRODUCT((5-入力!C3:C18)*入力!F3:F18)</f>
        <v/>
      </c>
      <c r="D5" s="14">
        <f>SUMPRODUCT((5-入力!C3:C18)*入力!G3:G18)</f>
        <v/>
      </c>
      <c r="E5" s="14">
        <f>SUMPRODUCT((5-入力!C3:C18)*入力!H3:H18)</f>
        <v/>
      </c>
      <c r="F5" s="14">
        <f>SUMPRODUCT((5-入力!C3:C18)*入力!I3:I18)</f>
        <v/>
      </c>
      <c r="G5" s="14">
        <f>SUMPRODUCT((5-入力!C3:C18)*入力!J3:J18)</f>
        <v/>
      </c>
    </row>
    <row r="7">
      <c r="A7" s="12" t="inlineStr">
        <is>
          <t>■ 末梢神経別 障害筋数</t>
        </is>
      </c>
    </row>
    <row r="8">
      <c r="A8" s="13" t="inlineStr">
        <is>
          <t>神経名</t>
        </is>
      </c>
      <c r="B8" s="13" t="inlineStr">
        <is>
          <t>障害筋数</t>
        </is>
      </c>
      <c r="C8" s="13" t="inlineStr">
        <is>
          <t>支配筋数</t>
        </is>
      </c>
    </row>
    <row r="9">
      <c r="A9" s="15" t="inlineStr">
        <is>
          <t>大腿神経/腰神経叢</t>
        </is>
      </c>
      <c r="B9" s="16">
        <f>COUNTIFS(入力!B3:B18,"大腿神経/腰神経叢",入力!C3:C18,"&lt;5")</f>
        <v/>
      </c>
      <c r="C9" s="17">
        <f>COUNTIF(入力!B3:B18,"大腿神経/腰神経叢")</f>
        <v/>
      </c>
    </row>
    <row r="10">
      <c r="A10" s="15" t="inlineStr">
        <is>
          <t>上殿神経</t>
        </is>
      </c>
      <c r="B10" s="16">
        <f>COUNTIFS(入力!B3:B18,"上殿神経",入力!C3:C18,"&lt;5")</f>
        <v/>
      </c>
      <c r="C10" s="17">
        <f>COUNTIF(入力!B3:B18,"上殿神経")</f>
        <v/>
      </c>
    </row>
    <row r="11">
      <c r="A11" s="15" t="inlineStr">
        <is>
          <t>下殿神経</t>
        </is>
      </c>
      <c r="B11" s="16">
        <f>COUNTIFS(入力!B3:B18,"下殿神経",入力!C3:C18,"&lt;5")</f>
        <v/>
      </c>
      <c r="C11" s="17">
        <f>COUNTIF(入力!B3:B18,"下殿神経")</f>
        <v/>
      </c>
    </row>
    <row r="12">
      <c r="A12" s="15" t="inlineStr">
        <is>
          <t>深腓骨神経</t>
        </is>
      </c>
      <c r="B12" s="16">
        <f>COUNTIFS(入力!B3:B18,"深腓骨神経",入力!C3:C18,"&lt;5")</f>
        <v/>
      </c>
      <c r="C12" s="17">
        <f>COUNTIF(入力!B3:B18,"深腓骨神経")</f>
        <v/>
      </c>
    </row>
    <row r="13">
      <c r="A13" s="15" t="inlineStr">
        <is>
          <t>脛骨神経</t>
        </is>
      </c>
      <c r="B13" s="16">
        <f>COUNTIFS(入力!B3:B18,"脛骨神経",入力!C3:C18,"&lt;5")</f>
        <v/>
      </c>
      <c r="C13" s="17">
        <f>COUNTIF(入力!B3:B18,"脛骨神経")</f>
        <v/>
      </c>
    </row>
    <row r="14">
      <c r="A14" s="15" t="inlineStr">
        <is>
          <t>閉鎖神経</t>
        </is>
      </c>
      <c r="B14" s="16">
        <f>COUNTIFS(入力!B3:B18,"閉鎖神経",入力!C3:C18,"&lt;5")</f>
        <v/>
      </c>
      <c r="C14" s="17">
        <f>COUNTIF(入力!B3:B18,"閉鎖神経")</f>
        <v/>
      </c>
    </row>
    <row r="15">
      <c r="A15" s="15" t="inlineStr">
        <is>
          <t>大腿神経</t>
        </is>
      </c>
      <c r="B15" s="16">
        <f>COUNTIFS(入力!B3:B18,"大腿神経",入力!C3:C18,"&lt;5")</f>
        <v/>
      </c>
      <c r="C15" s="17">
        <f>COUNTIF(入力!B3:B18,"大腿神経")</f>
        <v/>
      </c>
    </row>
    <row r="16">
      <c r="A16" s="15" t="inlineStr">
        <is>
          <t>脛骨神経/総腓骨神経</t>
        </is>
      </c>
      <c r="B16" s="16">
        <f>COUNTIFS(入力!B3:B18,"脛骨神経/総腓骨神経",入力!C3:C18,"&lt;5")</f>
        <v/>
      </c>
      <c r="C16" s="17">
        <f>COUNTIF(入力!B3:B18,"脛骨神経/総腓骨神経")</f>
        <v/>
      </c>
    </row>
    <row r="17">
      <c r="A17" s="15" t="inlineStr">
        <is>
          <t>浅腓骨神経</t>
        </is>
      </c>
      <c r="B17" s="16">
        <f>COUNTIFS(入力!B3:B18,"浅腓骨神経",入力!C3:C18,"&lt;5")</f>
        <v/>
      </c>
      <c r="C17" s="17">
        <f>COUNTIF(入力!B3:B18,"浅腓骨神経")</f>
        <v/>
      </c>
    </row>
    <row r="20">
      <c r="A20" s="18" t="inlineStr">
        <is>
          <t>※ 入力シートのMMT値を変更すると自動で結果が更新されます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2026-03-12T09:10:27Z</dcterms:created>
  <dcterms:modified xmlns:dcterms="http://purl.org/dc/terms/" xmlns:xsi="http://www.w3.org/2001/XMLSchema-instance" xsi:type="dcterms:W3CDTF">2026-03-12T09:10:27Z</dcterms:modified>
</cp:coreProperties>
</file>