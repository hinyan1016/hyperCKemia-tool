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c5d66dd010fbc96/Documents/Claude_task/"/>
    </mc:Choice>
  </mc:AlternateContent>
  <xr:revisionPtr revIDLastSave="6" documentId="11_EB551C3FE7799B9161ECBE81787F3176A4E4AE40" xr6:coauthVersionLast="47" xr6:coauthVersionMax="47" xr10:uidLastSave="{D27BC248-2165-4351-A8F3-7ABF1F854686}"/>
  <bookViews>
    <workbookView xWindow="3380" yWindow="3340" windowWidth="16800" windowHeight="9940" xr2:uid="{00000000-000D-0000-FFFF-FFFF00000000}"/>
  </bookViews>
  <sheets>
    <sheet name="上肢" sheetId="1" r:id="rId1"/>
    <sheet name="下肢" sheetId="2" r:id="rId2"/>
    <sheet name="使い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2" l="1"/>
  <c r="M26" i="2"/>
  <c r="M25" i="2"/>
  <c r="N25" i="2" s="1"/>
  <c r="N24" i="2"/>
  <c r="M24" i="2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N14" i="2"/>
  <c r="M14" i="2"/>
  <c r="N13" i="2"/>
  <c r="M13" i="2"/>
  <c r="N12" i="2"/>
  <c r="M12" i="2"/>
  <c r="N11" i="2"/>
  <c r="M11" i="2"/>
  <c r="M10" i="2"/>
  <c r="N10" i="2" s="1"/>
  <c r="M9" i="2"/>
  <c r="N9" i="2" s="1"/>
  <c r="M8" i="2"/>
  <c r="N8" i="2" s="1"/>
  <c r="M35" i="1"/>
  <c r="N35" i="1" s="1"/>
  <c r="M34" i="1"/>
  <c r="N34" i="1" s="1"/>
  <c r="M33" i="1"/>
  <c r="N33" i="1" s="1"/>
  <c r="M29" i="1"/>
  <c r="N29" i="1" s="1"/>
  <c r="M28" i="1"/>
  <c r="N28" i="1" s="1"/>
  <c r="M27" i="1"/>
  <c r="N27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2" i="1"/>
  <c r="N12" i="1" s="1"/>
  <c r="M11" i="1"/>
  <c r="N11" i="1" s="1"/>
  <c r="M10" i="1"/>
  <c r="N10" i="1" s="1"/>
  <c r="M9" i="1"/>
  <c r="N9" i="1" s="1"/>
  <c r="M8" i="1"/>
  <c r="N8" i="1" s="1"/>
</calcChain>
</file>

<file path=xl/sharedStrings.xml><?xml version="1.0" encoding="utf-8"?>
<sst xmlns="http://schemas.openxmlformats.org/spreadsheetml/2006/main" count="270" uniqueCount="144">
  <si>
    <t>🔍 神経障害部位推測ツール — 上肢</t>
  </si>
  <si>
    <t>MMT列（黄色セル）に筋力値（0〜5）を入力すると、右側の結果セクションに自動で解析結果が表示されます</t>
  </si>
  <si>
    <t>筋肉</t>
  </si>
  <si>
    <t>支配神経</t>
  </si>
  <si>
    <t>束(Cord)</t>
  </si>
  <si>
    <t>幹(Trunk)</t>
  </si>
  <si>
    <t>C5</t>
  </si>
  <si>
    <t>C6</t>
  </si>
  <si>
    <t>C7</t>
  </si>
  <si>
    <t>C8</t>
  </si>
  <si>
    <t>T1</t>
  </si>
  <si>
    <t>MMT</t>
  </si>
  <si>
    <t>📊 解析結果</t>
  </si>
  <si>
    <t>前鋸筋</t>
  </si>
  <si>
    <t>長胸神経</t>
  </si>
  <si>
    <t>-</t>
  </si>
  <si>
    <t>棘下筋</t>
  </si>
  <si>
    <t>肩甲上神経</t>
  </si>
  <si>
    <t>上</t>
  </si>
  <si>
    <t>🔷 脊髄レベル別スコア</t>
  </si>
  <si>
    <t>広背筋</t>
  </si>
  <si>
    <t>胸背神経</t>
  </si>
  <si>
    <t>後</t>
  </si>
  <si>
    <t>中</t>
  </si>
  <si>
    <t>レベル</t>
  </si>
  <si>
    <t>スコア</t>
  </si>
  <si>
    <t>棒グラフ</t>
  </si>
  <si>
    <t>三角筋</t>
  </si>
  <si>
    <t>腋窩神経</t>
  </si>
  <si>
    <t>上腕二頭筋</t>
  </si>
  <si>
    <t>筋皮神経</t>
  </si>
  <si>
    <t>外</t>
  </si>
  <si>
    <t>上腕三頭筋</t>
  </si>
  <si>
    <t>橈骨神経</t>
  </si>
  <si>
    <t>腕橈骨筋</t>
  </si>
  <si>
    <t>総指伸筋</t>
  </si>
  <si>
    <t>下</t>
  </si>
  <si>
    <t>尺側手根伸筋</t>
  </si>
  <si>
    <t>中下</t>
  </si>
  <si>
    <t>長母指伸筋</t>
  </si>
  <si>
    <t>🔶 末梢神経別 障害筋数</t>
  </si>
  <si>
    <t>短母指伸筋</t>
  </si>
  <si>
    <t>神経名</t>
  </si>
  <si>
    <t>障害筋数</t>
  </si>
  <si>
    <t>円回内筋</t>
  </si>
  <si>
    <t>正中神経</t>
  </si>
  <si>
    <t>浅指屈筋</t>
  </si>
  <si>
    <t>内</t>
  </si>
  <si>
    <t>深指屈筋(示)</t>
  </si>
  <si>
    <t>長母指屈筋</t>
  </si>
  <si>
    <t>外内</t>
  </si>
  <si>
    <t>上中下</t>
  </si>
  <si>
    <t>方形回内筋</t>
  </si>
  <si>
    <t>短母指外転筋</t>
  </si>
  <si>
    <t>深指屈筋(小)</t>
  </si>
  <si>
    <t>尺骨神経</t>
  </si>
  <si>
    <t>小指外転筋</t>
  </si>
  <si>
    <t>橈側手根伸筋</t>
  </si>
  <si>
    <t>尺側手根屈筋</t>
  </si>
  <si>
    <t>🟢 神経束（Cord）別 障害筋数</t>
  </si>
  <si>
    <t>第一背側骨間筋</t>
  </si>
  <si>
    <t>神経束</t>
  </si>
  <si>
    <t>第一掌側骨間筋</t>
  </si>
  <si>
    <t>外側束</t>
  </si>
  <si>
    <t>母指対立筋</t>
  </si>
  <si>
    <t>内側束</t>
  </si>
  <si>
    <t>母指内転筋</t>
  </si>
  <si>
    <t>後束</t>
  </si>
  <si>
    <t>第１第２虫様筋</t>
  </si>
  <si>
    <t>第３第４虫様筋</t>
  </si>
  <si>
    <t>🟣 神経幹（Trunk）別 障害筋数</t>
  </si>
  <si>
    <t>神経幹</t>
  </si>
  <si>
    <t>上幹</t>
  </si>
  <si>
    <t>中幹</t>
  </si>
  <si>
    <t>下幹</t>
  </si>
  <si>
    <t>🔍 神経障害部位推測ツール — 下肢</t>
  </si>
  <si>
    <t>L1</t>
  </si>
  <si>
    <t>L2</t>
  </si>
  <si>
    <t>L3</t>
  </si>
  <si>
    <t>L4</t>
  </si>
  <si>
    <t>L5</t>
  </si>
  <si>
    <t>S1</t>
  </si>
  <si>
    <t>S2</t>
  </si>
  <si>
    <t>腸腰筋</t>
  </si>
  <si>
    <t>大腿神経/腰神経叢</t>
  </si>
  <si>
    <t>中殿筋</t>
  </si>
  <si>
    <t>上殿神経</t>
  </si>
  <si>
    <t>大殿筋</t>
  </si>
  <si>
    <t>下殿神経</t>
  </si>
  <si>
    <t>前脛骨筋</t>
  </si>
  <si>
    <t>深腓骨神経</t>
  </si>
  <si>
    <t>後脛骨筋</t>
  </si>
  <si>
    <t>脛骨神経</t>
  </si>
  <si>
    <t>長趾屈筋</t>
  </si>
  <si>
    <t>内転筋群</t>
  </si>
  <si>
    <t>閉鎖神経</t>
  </si>
  <si>
    <t>大腿四頭筋</t>
  </si>
  <si>
    <t>大腿神経</t>
  </si>
  <si>
    <t>大腿屈筋群</t>
  </si>
  <si>
    <t>脛骨神経/総腓骨神経</t>
  </si>
  <si>
    <t>足趾背屈</t>
  </si>
  <si>
    <t>母趾背屈</t>
  </si>
  <si>
    <t>腓骨筋群</t>
  </si>
  <si>
    <t>浅腓骨神経</t>
  </si>
  <si>
    <t>下腿三頭筋</t>
  </si>
  <si>
    <t>短趾屈筋</t>
  </si>
  <si>
    <t>長母趾屈筋</t>
  </si>
  <si>
    <t>短母趾屈筋</t>
  </si>
  <si>
    <t>📖 神経障害部位推測ツール — 使い方</t>
  </si>
  <si>
    <t>使い方</t>
  </si>
  <si>
    <t>1.</t>
  </si>
  <si>
    <t>「上肢」または「下肢」シートを開く</t>
  </si>
  <si>
    <t>2.</t>
  </si>
  <si>
    <t>MMT列（黄色のセル）に筋力値（0〜5）を入力</t>
  </si>
  <si>
    <t>3.</t>
  </si>
  <si>
    <t>右側の結果セクションに自動で解析結果が表示される</t>
  </si>
  <si>
    <t>4.</t>
  </si>
  <si>
    <t>脊髄レベル、末梢神経、神経束、神経幹の観点から局在を推定</t>
  </si>
  <si>
    <t>5.</t>
  </si>
  <si>
    <t>棒グラフ（█）でスコアの大きさを視覚的に確認</t>
  </si>
  <si>
    <t>⚠️ 注意</t>
  </si>
  <si>
    <t>本ツールはあくまで補助的な推測です。臨床所見・画像検査・電気生理学的検査と合わせて総合的に判断してください。</t>
  </si>
  <si>
    <t>重み付けの意味</t>
  </si>
  <si>
    <t>0</t>
  </si>
  <si>
    <t>その脊髄レベルからの支配がない</t>
  </si>
  <si>
    <t>1</t>
  </si>
  <si>
    <t>支配の可能性が低い（副次的）</t>
  </si>
  <si>
    <t>2</t>
  </si>
  <si>
    <t>中程度の支配</t>
  </si>
  <si>
    <t>3</t>
  </si>
  <si>
    <t>主要な支配の一つ</t>
  </si>
  <si>
    <t>4</t>
  </si>
  <si>
    <t>最も強い支配（主要な脊髄レベル）</t>
  </si>
  <si>
    <t>束（Cord）の略称</t>
  </si>
  <si>
    <t>外側束（Lateral cord）</t>
  </si>
  <si>
    <t>内側束（Medial cord）</t>
  </si>
  <si>
    <t>後束（Posterior cord）</t>
  </si>
  <si>
    <t>外側束＋内側束の両方から支配</t>
  </si>
  <si>
    <t>幹（Trunk）の略称</t>
  </si>
  <si>
    <t>上幹（Upper trunk）— C5, C6</t>
  </si>
  <si>
    <t>中幹（Middle trunk）— C7</t>
  </si>
  <si>
    <t>下幹（Lower trunk）— C8, T1</t>
  </si>
  <si>
    <t>全ての幹から支配</t>
  </si>
  <si>
    <t>中幹＋下幹から支配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</si>
</sst>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DC3545"/>
      <name val="Arial"/>
    </font>
    <font>
      <b/>
      <sz val="10"/>
      <name val="Arial"/>
    </font>
    <font>
      <sz val="10"/>
      <name val="Arial"/>
    </font>
    <font>
      <b/>
      <sz val="9"/>
      <color rgb="FF1B3A5C"/>
      <name val="Arial"/>
    </font>
    <font>
      <b/>
      <sz val="9"/>
      <color rgb="FF2C5AA0"/>
      <name val="Arial"/>
    </font>
    <font>
      <sz val="9"/>
      <color rgb="FFCCCCCC"/>
      <name val="Arial"/>
    </font>
    <font>
      <b/>
      <sz val="12"/>
      <color rgb="FFDC3545"/>
      <name val="Arial"/>
    </font>
    <font>
      <b/>
      <sz val="9"/>
      <color rgb="FFFFFFFF"/>
      <name val="Arial"/>
    </font>
    <font>
      <b/>
      <sz val="9"/>
      <color rgb="FF0D2B4D"/>
      <name val="Arial"/>
    </font>
    <font>
      <b/>
      <sz val="14"/>
      <color rgb="FFFFFFFF"/>
      <name val="Arial"/>
    </font>
    <font>
      <b/>
      <sz val="12"/>
      <color rgb="FF1B3A5C"/>
      <name val="Arial"/>
    </font>
    <font>
      <b/>
      <sz val="11"/>
      <name val="Arial"/>
    </font>
    <font>
      <sz val="10"/>
      <color rgb="FF2C5AA0"/>
      <name val="Arial"/>
    </font>
    <font>
      <sz val="10"/>
      <color rgb="FFE8850C"/>
      <name val="Arial"/>
    </font>
    <font>
      <sz val="10"/>
      <color rgb="FF10B981"/>
      <name val="Arial"/>
    </font>
    <font>
      <sz val="10"/>
      <color rgb="FF8B5CF6"/>
      <name val="Arial"/>
    </font>
    <font>
      <b/>
      <sz val="16"/>
      <color rgb="FF1B3A5C"/>
      <name val="Arial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C5AA0"/>
      </patternFill>
    </fill>
    <fill>
      <patternFill patternType="solid">
        <fgColor rgb="FFFFF5F5"/>
      </patternFill>
    </fill>
    <fill>
      <patternFill patternType="solid">
        <fgColor rgb="FFC8E0F8"/>
      </patternFill>
    </fill>
    <fill>
      <patternFill patternType="solid">
        <fgColor rgb="FFE8F4FD"/>
      </patternFill>
    </fill>
    <fill>
      <patternFill patternType="solid">
        <fgColor rgb="FFF5F5F5"/>
      </patternFill>
    </fill>
    <fill>
      <patternFill patternType="solid">
        <fgColor rgb="FFFFFFF0"/>
      </patternFill>
    </fill>
    <fill>
      <patternFill patternType="solid">
        <fgColor rgb="FF93C5F8"/>
      </patternFill>
    </fill>
    <fill>
      <patternFill patternType="solid">
        <fgColor rgb="FFE8ECF1"/>
      </patternFill>
    </fill>
  </fills>
  <borders count="3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>
      <left style="dashed">
        <color rgb="FFDC3545"/>
      </left>
      <right style="dashed">
        <color rgb="FFDC3545"/>
      </right>
      <top style="dashed">
        <color rgb="FFDC3545"/>
      </top>
      <bottom style="dashed">
        <color rgb="FFDC354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0" xfId="0" applyFont="1"/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B1" workbookViewId="0">
      <pane ySplit="4" topLeftCell="A5" activePane="bottomLeft" state="frozen"/>
      <selection pane="bottomLeft" activeCell="J13" sqref="J13"/>
    </sheetView>
  </sheetViews>
  <sheetFormatPr defaultRowHeight="13" x14ac:dyDescent="0.2"/>
  <cols>
    <col min="1" max="1" width="18" customWidth="1"/>
    <col min="2" max="2" width="16" customWidth="1"/>
    <col min="3" max="4" width="10" customWidth="1"/>
    <col min="5" max="9" width="5" customWidth="1"/>
    <col min="10" max="10" width="8" customWidth="1"/>
    <col min="12" max="12" width="18" customWidth="1"/>
    <col min="13" max="13" width="10" customWidth="1"/>
    <col min="14" max="14" width="35" customWidth="1"/>
  </cols>
  <sheetData>
    <row r="1" spans="1:16" ht="20" x14ac:dyDescent="0.2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ht="18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2" t="s">
        <v>11</v>
      </c>
      <c r="L4" s="23" t="s">
        <v>12</v>
      </c>
      <c r="M4" s="24"/>
      <c r="N4" s="24"/>
      <c r="O4" s="24"/>
    </row>
    <row r="5" spans="1:16" ht="15.5" x14ac:dyDescent="0.2">
      <c r="A5" s="3" t="s">
        <v>13</v>
      </c>
      <c r="B5" s="4" t="s">
        <v>14</v>
      </c>
      <c r="C5" s="5" t="s">
        <v>15</v>
      </c>
      <c r="D5" s="5" t="s">
        <v>15</v>
      </c>
      <c r="E5" s="6">
        <v>2</v>
      </c>
      <c r="F5" s="7">
        <v>1</v>
      </c>
      <c r="G5" s="7">
        <v>1</v>
      </c>
      <c r="H5" s="8">
        <v>0</v>
      </c>
      <c r="I5" s="8">
        <v>0</v>
      </c>
      <c r="J5" s="9"/>
    </row>
    <row r="6" spans="1:16" ht="15.5" x14ac:dyDescent="0.35">
      <c r="A6" s="3" t="s">
        <v>16</v>
      </c>
      <c r="B6" s="4" t="s">
        <v>17</v>
      </c>
      <c r="C6" s="5" t="s">
        <v>15</v>
      </c>
      <c r="D6" s="5" t="s">
        <v>18</v>
      </c>
      <c r="E6" s="10">
        <v>4</v>
      </c>
      <c r="F6" s="11">
        <v>3</v>
      </c>
      <c r="G6" s="8">
        <v>0</v>
      </c>
      <c r="H6" s="8">
        <v>0</v>
      </c>
      <c r="I6" s="8">
        <v>0</v>
      </c>
      <c r="J6" s="9"/>
      <c r="L6" s="12" t="s">
        <v>19</v>
      </c>
    </row>
    <row r="7" spans="1:16" ht="15.5" x14ac:dyDescent="0.2">
      <c r="A7" s="3" t="s">
        <v>20</v>
      </c>
      <c r="B7" s="4" t="s">
        <v>21</v>
      </c>
      <c r="C7" s="5" t="s">
        <v>22</v>
      </c>
      <c r="D7" s="5" t="s">
        <v>23</v>
      </c>
      <c r="E7" s="8">
        <v>0</v>
      </c>
      <c r="F7" s="7">
        <v>1</v>
      </c>
      <c r="G7" s="10">
        <v>4</v>
      </c>
      <c r="H7" s="7">
        <v>1</v>
      </c>
      <c r="I7" s="8">
        <v>0</v>
      </c>
      <c r="J7" s="9"/>
      <c r="L7" s="13" t="s">
        <v>24</v>
      </c>
      <c r="M7" s="13" t="s">
        <v>25</v>
      </c>
      <c r="N7" s="13" t="s">
        <v>26</v>
      </c>
    </row>
    <row r="8" spans="1:16" ht="15.5" x14ac:dyDescent="0.2">
      <c r="A8" s="3" t="s">
        <v>27</v>
      </c>
      <c r="B8" s="4" t="s">
        <v>28</v>
      </c>
      <c r="C8" s="5" t="s">
        <v>22</v>
      </c>
      <c r="D8" s="5" t="s">
        <v>18</v>
      </c>
      <c r="E8" s="10">
        <v>4</v>
      </c>
      <c r="F8" s="7">
        <v>1</v>
      </c>
      <c r="G8" s="8">
        <v>0</v>
      </c>
      <c r="H8" s="8">
        <v>0</v>
      </c>
      <c r="I8" s="8">
        <v>0</v>
      </c>
      <c r="J8" s="9"/>
      <c r="L8" s="14" t="s">
        <v>6</v>
      </c>
      <c r="M8" s="15">
        <f>SUMPRODUCT((J5:J31&lt;&gt;"")*(J5:J31&lt;5)*(5-J5:J31)*E5:E31)</f>
        <v>0</v>
      </c>
      <c r="N8" s="16" t="str">
        <f>REPT("█",MIN(M8,30))</f>
        <v/>
      </c>
    </row>
    <row r="9" spans="1:16" ht="15.5" x14ac:dyDescent="0.2">
      <c r="A9" s="3" t="s">
        <v>29</v>
      </c>
      <c r="B9" s="4" t="s">
        <v>30</v>
      </c>
      <c r="C9" s="5" t="s">
        <v>31</v>
      </c>
      <c r="D9" s="5" t="s">
        <v>18</v>
      </c>
      <c r="E9" s="10">
        <v>4</v>
      </c>
      <c r="F9" s="11">
        <v>3</v>
      </c>
      <c r="G9" s="8">
        <v>0</v>
      </c>
      <c r="H9" s="8">
        <v>0</v>
      </c>
      <c r="I9" s="8">
        <v>0</v>
      </c>
      <c r="J9" s="9"/>
      <c r="L9" s="14" t="s">
        <v>7</v>
      </c>
      <c r="M9" s="15">
        <f>SUMPRODUCT((J5:J31&lt;&gt;"")*(J5:J31&lt;5)*(5-J5:J31)*F5:F31)</f>
        <v>0</v>
      </c>
      <c r="N9" s="16" t="str">
        <f>REPT("█",MIN(M9,30))</f>
        <v/>
      </c>
    </row>
    <row r="10" spans="1:16" ht="15.5" x14ac:dyDescent="0.2">
      <c r="A10" s="3" t="s">
        <v>32</v>
      </c>
      <c r="B10" s="4" t="s">
        <v>33</v>
      </c>
      <c r="C10" s="5" t="s">
        <v>22</v>
      </c>
      <c r="D10" s="5" t="s">
        <v>23</v>
      </c>
      <c r="E10" s="8">
        <v>0</v>
      </c>
      <c r="F10" s="7">
        <v>1</v>
      </c>
      <c r="G10" s="10">
        <v>4</v>
      </c>
      <c r="H10" s="11">
        <v>3</v>
      </c>
      <c r="I10" s="8">
        <v>0</v>
      </c>
      <c r="J10" s="9"/>
      <c r="L10" s="14" t="s">
        <v>8</v>
      </c>
      <c r="M10" s="15">
        <f>SUMPRODUCT((J5:J31&lt;&gt;"")*(J5:J31&lt;5)*(5-J5:J31)*G5:G31)</f>
        <v>0</v>
      </c>
      <c r="N10" s="16" t="str">
        <f>REPT("█",MIN(M10,30))</f>
        <v/>
      </c>
    </row>
    <row r="11" spans="1:16" ht="15.5" x14ac:dyDescent="0.2">
      <c r="A11" s="3" t="s">
        <v>34</v>
      </c>
      <c r="B11" s="4" t="s">
        <v>33</v>
      </c>
      <c r="C11" s="5" t="s">
        <v>22</v>
      </c>
      <c r="D11" s="5" t="s">
        <v>18</v>
      </c>
      <c r="E11" s="10">
        <v>4</v>
      </c>
      <c r="F11" s="7">
        <v>1</v>
      </c>
      <c r="G11" s="8">
        <v>0</v>
      </c>
      <c r="H11" s="8">
        <v>0</v>
      </c>
      <c r="I11" s="8">
        <v>0</v>
      </c>
      <c r="J11" s="9"/>
      <c r="L11" s="14" t="s">
        <v>9</v>
      </c>
      <c r="M11" s="15">
        <f>SUMPRODUCT((J5:J31&lt;&gt;"")*(J5:J31&lt;5)*(5-J5:J31)*H5:H31)</f>
        <v>0</v>
      </c>
      <c r="N11" s="16" t="str">
        <f>REPT("█",MIN(M11,30))</f>
        <v/>
      </c>
    </row>
    <row r="12" spans="1:16" ht="15.5" x14ac:dyDescent="0.2">
      <c r="A12" s="3" t="s">
        <v>35</v>
      </c>
      <c r="B12" s="4" t="s">
        <v>33</v>
      </c>
      <c r="C12" s="5" t="s">
        <v>22</v>
      </c>
      <c r="D12" s="5" t="s">
        <v>36</v>
      </c>
      <c r="E12" s="8">
        <v>0</v>
      </c>
      <c r="F12" s="8">
        <v>0</v>
      </c>
      <c r="G12" s="11">
        <v>3</v>
      </c>
      <c r="H12" s="10">
        <v>4</v>
      </c>
      <c r="I12" s="8">
        <v>0</v>
      </c>
      <c r="J12" s="9"/>
      <c r="L12" s="14" t="s">
        <v>10</v>
      </c>
      <c r="M12" s="15">
        <f>SUMPRODUCT((J5:J31&lt;&gt;"")*(J5:J31&lt;5)*(5-J5:J31)*I5:I31)</f>
        <v>0</v>
      </c>
      <c r="N12" s="16" t="str">
        <f>REPT("█",MIN(M12,30))</f>
        <v/>
      </c>
    </row>
    <row r="13" spans="1:16" ht="15.5" x14ac:dyDescent="0.2">
      <c r="A13" s="3" t="s">
        <v>37</v>
      </c>
      <c r="B13" s="4" t="s">
        <v>33</v>
      </c>
      <c r="C13" s="5" t="s">
        <v>22</v>
      </c>
      <c r="D13" s="5" t="s">
        <v>38</v>
      </c>
      <c r="E13" s="8">
        <v>0</v>
      </c>
      <c r="F13" s="7">
        <v>1</v>
      </c>
      <c r="G13" s="10">
        <v>4</v>
      </c>
      <c r="H13" s="6">
        <v>2</v>
      </c>
      <c r="I13" s="8">
        <v>0</v>
      </c>
      <c r="J13" s="9"/>
    </row>
    <row r="14" spans="1:16" ht="15.5" x14ac:dyDescent="0.35">
      <c r="A14" s="3" t="s">
        <v>39</v>
      </c>
      <c r="B14" s="4" t="s">
        <v>33</v>
      </c>
      <c r="C14" s="5" t="s">
        <v>22</v>
      </c>
      <c r="D14" s="5" t="s">
        <v>38</v>
      </c>
      <c r="E14" s="8">
        <v>0</v>
      </c>
      <c r="F14" s="8">
        <v>0</v>
      </c>
      <c r="G14" s="7">
        <v>1</v>
      </c>
      <c r="H14" s="10">
        <v>4</v>
      </c>
      <c r="I14" s="7">
        <v>1</v>
      </c>
      <c r="J14" s="9"/>
      <c r="L14" s="12" t="s">
        <v>40</v>
      </c>
    </row>
    <row r="15" spans="1:16" ht="15.5" x14ac:dyDescent="0.2">
      <c r="A15" s="3" t="s">
        <v>41</v>
      </c>
      <c r="B15" s="4" t="s">
        <v>33</v>
      </c>
      <c r="C15" s="5" t="s">
        <v>22</v>
      </c>
      <c r="D15" s="5" t="s">
        <v>38</v>
      </c>
      <c r="E15" s="8">
        <v>0</v>
      </c>
      <c r="F15" s="8">
        <v>0</v>
      </c>
      <c r="G15" s="7">
        <v>1</v>
      </c>
      <c r="H15" s="10">
        <v>4</v>
      </c>
      <c r="I15" s="7">
        <v>1</v>
      </c>
      <c r="J15" s="9"/>
      <c r="L15" s="13" t="s">
        <v>42</v>
      </c>
      <c r="M15" s="13" t="s">
        <v>43</v>
      </c>
      <c r="N15" s="13" t="s">
        <v>26</v>
      </c>
    </row>
    <row r="16" spans="1:16" ht="15.5" x14ac:dyDescent="0.2">
      <c r="A16" s="3" t="s">
        <v>44</v>
      </c>
      <c r="B16" s="4" t="s">
        <v>45</v>
      </c>
      <c r="C16" s="5" t="s">
        <v>31</v>
      </c>
      <c r="D16" s="5" t="s">
        <v>18</v>
      </c>
      <c r="E16" s="8">
        <v>0</v>
      </c>
      <c r="F16" s="10">
        <v>4</v>
      </c>
      <c r="G16" s="7">
        <v>1</v>
      </c>
      <c r="H16" s="8">
        <v>0</v>
      </c>
      <c r="I16" s="8">
        <v>0</v>
      </c>
      <c r="J16" s="9"/>
      <c r="L16" s="17" t="s">
        <v>14</v>
      </c>
      <c r="M16" s="15">
        <f>COUNTIFS(B5:B31,"長胸神経",J5:J31,"&lt;5",J5:J31,"&lt;&gt;")</f>
        <v>0</v>
      </c>
      <c r="N16" s="18" t="str">
        <f t="shared" ref="N16:N23" si="0">REPT("█",M16)</f>
        <v/>
      </c>
    </row>
    <row r="17" spans="1:14" ht="15.5" x14ac:dyDescent="0.2">
      <c r="A17" s="3" t="s">
        <v>46</v>
      </c>
      <c r="B17" s="4" t="s">
        <v>45</v>
      </c>
      <c r="C17" s="5" t="s">
        <v>47</v>
      </c>
      <c r="D17" s="5" t="s">
        <v>36</v>
      </c>
      <c r="E17" s="8">
        <v>0</v>
      </c>
      <c r="F17" s="8">
        <v>0</v>
      </c>
      <c r="G17" s="7">
        <v>1</v>
      </c>
      <c r="H17" s="11">
        <v>3</v>
      </c>
      <c r="I17" s="10">
        <v>4</v>
      </c>
      <c r="J17" s="9"/>
      <c r="L17" s="17" t="s">
        <v>17</v>
      </c>
      <c r="M17" s="15">
        <f>COUNTIFS(B5:B31,"肩甲上神経",J5:J31,"&lt;5",J5:J31,"&lt;&gt;")</f>
        <v>0</v>
      </c>
      <c r="N17" s="18" t="str">
        <f t="shared" si="0"/>
        <v/>
      </c>
    </row>
    <row r="18" spans="1:14" ht="15.5" x14ac:dyDescent="0.2">
      <c r="A18" s="3" t="s">
        <v>48</v>
      </c>
      <c r="B18" s="4" t="s">
        <v>45</v>
      </c>
      <c r="C18" s="5" t="s">
        <v>47</v>
      </c>
      <c r="D18" s="5" t="s">
        <v>36</v>
      </c>
      <c r="E18" s="8">
        <v>0</v>
      </c>
      <c r="F18" s="8">
        <v>0</v>
      </c>
      <c r="G18" s="8">
        <v>0</v>
      </c>
      <c r="H18" s="7">
        <v>1</v>
      </c>
      <c r="I18" s="10">
        <v>4</v>
      </c>
      <c r="J18" s="9"/>
      <c r="L18" s="17" t="s">
        <v>21</v>
      </c>
      <c r="M18" s="15">
        <f>COUNTIFS(B5:B31,"胸背神経",J5:J31,"&lt;5",J5:J31,"&lt;&gt;")</f>
        <v>0</v>
      </c>
      <c r="N18" s="18" t="str">
        <f t="shared" si="0"/>
        <v/>
      </c>
    </row>
    <row r="19" spans="1:14" ht="15.5" x14ac:dyDescent="0.2">
      <c r="A19" s="3" t="s">
        <v>49</v>
      </c>
      <c r="B19" s="4" t="s">
        <v>45</v>
      </c>
      <c r="C19" s="5" t="s">
        <v>50</v>
      </c>
      <c r="D19" s="5" t="s">
        <v>51</v>
      </c>
      <c r="E19" s="8">
        <v>0</v>
      </c>
      <c r="F19" s="8">
        <v>0</v>
      </c>
      <c r="G19" s="8">
        <v>0</v>
      </c>
      <c r="H19" s="11">
        <v>3</v>
      </c>
      <c r="I19" s="10">
        <v>4</v>
      </c>
      <c r="J19" s="9"/>
      <c r="L19" s="17" t="s">
        <v>28</v>
      </c>
      <c r="M19" s="15">
        <f>COUNTIFS(B5:B31,"腋窩神経",J5:J31,"&lt;5",J5:J31,"&lt;&gt;")</f>
        <v>0</v>
      </c>
      <c r="N19" s="18" t="str">
        <f t="shared" si="0"/>
        <v/>
      </c>
    </row>
    <row r="20" spans="1:14" ht="15.5" x14ac:dyDescent="0.2">
      <c r="A20" s="3" t="s">
        <v>52</v>
      </c>
      <c r="B20" s="4" t="s">
        <v>45</v>
      </c>
      <c r="C20" s="5" t="s">
        <v>50</v>
      </c>
      <c r="D20" s="5" t="s">
        <v>51</v>
      </c>
      <c r="E20" s="8">
        <v>0</v>
      </c>
      <c r="F20" s="8">
        <v>0</v>
      </c>
      <c r="G20" s="8">
        <v>0</v>
      </c>
      <c r="H20" s="7">
        <v>1</v>
      </c>
      <c r="I20" s="10">
        <v>4</v>
      </c>
      <c r="J20" s="9"/>
      <c r="L20" s="17" t="s">
        <v>30</v>
      </c>
      <c r="M20" s="15">
        <f>COUNTIFS(B5:B31,"筋皮神経",J5:J31,"&lt;5",J5:J31,"&lt;&gt;")</f>
        <v>0</v>
      </c>
      <c r="N20" s="18" t="str">
        <f t="shared" si="0"/>
        <v/>
      </c>
    </row>
    <row r="21" spans="1:14" ht="15.5" x14ac:dyDescent="0.2">
      <c r="A21" s="3" t="s">
        <v>53</v>
      </c>
      <c r="B21" s="4" t="s">
        <v>45</v>
      </c>
      <c r="C21" s="5" t="s">
        <v>47</v>
      </c>
      <c r="D21" s="5" t="s">
        <v>36</v>
      </c>
      <c r="E21" s="8">
        <v>0</v>
      </c>
      <c r="F21" s="8">
        <v>0</v>
      </c>
      <c r="G21" s="8">
        <v>0</v>
      </c>
      <c r="H21" s="7">
        <v>1</v>
      </c>
      <c r="I21" s="10">
        <v>4</v>
      </c>
      <c r="J21" s="9"/>
      <c r="L21" s="17" t="s">
        <v>33</v>
      </c>
      <c r="M21" s="15">
        <f>COUNTIFS(B5:B31,"橈骨神経",J5:J31,"&lt;5",J5:J31,"&lt;&gt;")</f>
        <v>0</v>
      </c>
      <c r="N21" s="18" t="str">
        <f t="shared" si="0"/>
        <v/>
      </c>
    </row>
    <row r="22" spans="1:14" ht="15.5" x14ac:dyDescent="0.2">
      <c r="A22" s="3" t="s">
        <v>54</v>
      </c>
      <c r="B22" s="4" t="s">
        <v>55</v>
      </c>
      <c r="C22" s="5" t="s">
        <v>47</v>
      </c>
      <c r="D22" s="5" t="s">
        <v>36</v>
      </c>
      <c r="E22" s="8">
        <v>0</v>
      </c>
      <c r="F22" s="8">
        <v>0</v>
      </c>
      <c r="G22" s="8">
        <v>0</v>
      </c>
      <c r="H22" s="10">
        <v>4</v>
      </c>
      <c r="I22" s="6">
        <v>2</v>
      </c>
      <c r="J22" s="9"/>
      <c r="L22" s="17" t="s">
        <v>45</v>
      </c>
      <c r="M22" s="15">
        <f>COUNTIFS(B5:B31,"正中神経",J5:J31,"&lt;5",J5:J31,"&lt;&gt;")</f>
        <v>0</v>
      </c>
      <c r="N22" s="18" t="str">
        <f t="shared" si="0"/>
        <v/>
      </c>
    </row>
    <row r="23" spans="1:14" ht="15.5" x14ac:dyDescent="0.2">
      <c r="A23" s="3" t="s">
        <v>56</v>
      </c>
      <c r="B23" s="4" t="s">
        <v>55</v>
      </c>
      <c r="C23" s="5" t="s">
        <v>47</v>
      </c>
      <c r="D23" s="5" t="s">
        <v>36</v>
      </c>
      <c r="E23" s="8">
        <v>0</v>
      </c>
      <c r="F23" s="8">
        <v>0</v>
      </c>
      <c r="G23" s="8">
        <v>0</v>
      </c>
      <c r="H23" s="10">
        <v>4</v>
      </c>
      <c r="I23" s="10">
        <v>4</v>
      </c>
      <c r="J23" s="9"/>
      <c r="L23" s="17" t="s">
        <v>55</v>
      </c>
      <c r="M23" s="15">
        <f>COUNTIFS(B5:B31,"尺骨神経",J5:J31,"&lt;5",J5:J31,"&lt;&gt;")</f>
        <v>0</v>
      </c>
      <c r="N23" s="18" t="str">
        <f t="shared" si="0"/>
        <v/>
      </c>
    </row>
    <row r="24" spans="1:14" ht="15.5" x14ac:dyDescent="0.2">
      <c r="A24" s="3" t="s">
        <v>57</v>
      </c>
      <c r="B24" s="4" t="s">
        <v>33</v>
      </c>
      <c r="C24" s="5" t="s">
        <v>47</v>
      </c>
      <c r="D24" s="5" t="s">
        <v>36</v>
      </c>
      <c r="E24" s="8">
        <v>0</v>
      </c>
      <c r="F24" s="10">
        <v>4</v>
      </c>
      <c r="G24" s="8">
        <v>0</v>
      </c>
      <c r="H24" s="8">
        <v>0</v>
      </c>
      <c r="I24" s="8">
        <v>0</v>
      </c>
      <c r="J24" s="9"/>
    </row>
    <row r="25" spans="1:14" ht="15.5" x14ac:dyDescent="0.35">
      <c r="A25" s="3" t="s">
        <v>58</v>
      </c>
      <c r="B25" s="4" t="s">
        <v>55</v>
      </c>
      <c r="C25" s="5" t="s">
        <v>47</v>
      </c>
      <c r="D25" s="5" t="s">
        <v>36</v>
      </c>
      <c r="E25" s="8">
        <v>0</v>
      </c>
      <c r="F25" s="8">
        <v>0</v>
      </c>
      <c r="G25" s="10">
        <v>4</v>
      </c>
      <c r="H25" s="11">
        <v>3</v>
      </c>
      <c r="I25" s="7">
        <v>1</v>
      </c>
      <c r="J25" s="9"/>
      <c r="L25" s="12" t="s">
        <v>59</v>
      </c>
    </row>
    <row r="26" spans="1:14" ht="15.5" x14ac:dyDescent="0.2">
      <c r="A26" s="3" t="s">
        <v>60</v>
      </c>
      <c r="B26" s="4" t="s">
        <v>55</v>
      </c>
      <c r="C26" s="5" t="s">
        <v>47</v>
      </c>
      <c r="D26" s="5" t="s">
        <v>36</v>
      </c>
      <c r="E26" s="8">
        <v>0</v>
      </c>
      <c r="F26" s="8">
        <v>0</v>
      </c>
      <c r="G26" s="8">
        <v>0</v>
      </c>
      <c r="H26" s="10">
        <v>4</v>
      </c>
      <c r="I26" s="6">
        <v>2</v>
      </c>
      <c r="J26" s="9"/>
      <c r="L26" s="13" t="s">
        <v>61</v>
      </c>
      <c r="M26" s="13" t="s">
        <v>43</v>
      </c>
      <c r="N26" s="13" t="s">
        <v>26</v>
      </c>
    </row>
    <row r="27" spans="1:14" ht="15.5" x14ac:dyDescent="0.2">
      <c r="A27" s="3" t="s">
        <v>62</v>
      </c>
      <c r="B27" s="4" t="s">
        <v>55</v>
      </c>
      <c r="C27" s="5" t="s">
        <v>47</v>
      </c>
      <c r="D27" s="5" t="s">
        <v>36</v>
      </c>
      <c r="E27" s="8">
        <v>0</v>
      </c>
      <c r="F27" s="8">
        <v>0</v>
      </c>
      <c r="G27" s="8">
        <v>0</v>
      </c>
      <c r="H27" s="11">
        <v>3</v>
      </c>
      <c r="I27" s="6">
        <v>2</v>
      </c>
      <c r="J27" s="9"/>
      <c r="L27" s="17" t="s">
        <v>63</v>
      </c>
      <c r="M27" s="15">
        <f>COUNTIFS(C5:C31,"*外*",J5:J31,"&lt;5",J5:J31,"&lt;&gt;")</f>
        <v>0</v>
      </c>
      <c r="N27" s="19" t="str">
        <f>REPT("█",M27)</f>
        <v/>
      </c>
    </row>
    <row r="28" spans="1:14" ht="15.5" x14ac:dyDescent="0.2">
      <c r="A28" s="3" t="s">
        <v>64</v>
      </c>
      <c r="B28" s="4" t="s">
        <v>45</v>
      </c>
      <c r="C28" s="5" t="s">
        <v>47</v>
      </c>
      <c r="D28" s="5" t="s">
        <v>36</v>
      </c>
      <c r="E28" s="8">
        <v>0</v>
      </c>
      <c r="F28" s="8">
        <v>0</v>
      </c>
      <c r="G28" s="8">
        <v>0</v>
      </c>
      <c r="H28" s="8">
        <v>0</v>
      </c>
      <c r="I28" s="10">
        <v>4</v>
      </c>
      <c r="J28" s="9"/>
      <c r="L28" s="17" t="s">
        <v>65</v>
      </c>
      <c r="M28" s="15">
        <f>COUNTIFS(C5:C31,"*内*",J5:J31,"&lt;5",J5:J31,"&lt;&gt;")</f>
        <v>0</v>
      </c>
      <c r="N28" s="19" t="str">
        <f>REPT("█",M28)</f>
        <v/>
      </c>
    </row>
    <row r="29" spans="1:14" ht="15.5" x14ac:dyDescent="0.2">
      <c r="A29" s="3" t="s">
        <v>66</v>
      </c>
      <c r="B29" s="4" t="s">
        <v>55</v>
      </c>
      <c r="C29" s="5" t="s">
        <v>47</v>
      </c>
      <c r="D29" s="5" t="s">
        <v>36</v>
      </c>
      <c r="E29" s="8">
        <v>0</v>
      </c>
      <c r="F29" s="8">
        <v>0</v>
      </c>
      <c r="G29" s="8">
        <v>0</v>
      </c>
      <c r="H29" s="11">
        <v>3</v>
      </c>
      <c r="I29" s="11">
        <v>3</v>
      </c>
      <c r="J29" s="9"/>
      <c r="L29" s="17" t="s">
        <v>67</v>
      </c>
      <c r="M29" s="15">
        <f>COUNTIFS(C5:C31,"*後*",J5:J31,"&lt;5",J5:J31,"&lt;&gt;")</f>
        <v>0</v>
      </c>
      <c r="N29" s="19" t="str">
        <f>REPT("█",M29)</f>
        <v/>
      </c>
    </row>
    <row r="30" spans="1:14" ht="15.5" x14ac:dyDescent="0.2">
      <c r="A30" s="3" t="s">
        <v>68</v>
      </c>
      <c r="B30" s="4" t="s">
        <v>45</v>
      </c>
      <c r="C30" s="5" t="s">
        <v>47</v>
      </c>
      <c r="D30" s="5" t="s">
        <v>36</v>
      </c>
      <c r="E30" s="8">
        <v>0</v>
      </c>
      <c r="F30" s="8">
        <v>0</v>
      </c>
      <c r="G30" s="8">
        <v>0</v>
      </c>
      <c r="H30" s="10">
        <v>4</v>
      </c>
      <c r="I30" s="6">
        <v>2</v>
      </c>
      <c r="J30" s="9"/>
    </row>
    <row r="31" spans="1:14" ht="15.5" x14ac:dyDescent="0.35">
      <c r="A31" s="3" t="s">
        <v>69</v>
      </c>
      <c r="B31" s="4" t="s">
        <v>55</v>
      </c>
      <c r="C31" s="5" t="s">
        <v>47</v>
      </c>
      <c r="D31" s="5" t="s">
        <v>36</v>
      </c>
      <c r="E31" s="8">
        <v>0</v>
      </c>
      <c r="F31" s="8">
        <v>0</v>
      </c>
      <c r="G31" s="8">
        <v>0</v>
      </c>
      <c r="H31" s="6">
        <v>2</v>
      </c>
      <c r="I31" s="10">
        <v>4</v>
      </c>
      <c r="J31" s="9"/>
      <c r="L31" s="12" t="s">
        <v>70</v>
      </c>
    </row>
    <row r="32" spans="1:14" x14ac:dyDescent="0.2">
      <c r="L32" s="13" t="s">
        <v>71</v>
      </c>
      <c r="M32" s="13" t="s">
        <v>43</v>
      </c>
      <c r="N32" s="13" t="s">
        <v>26</v>
      </c>
    </row>
    <row r="33" spans="12:14" ht="14" x14ac:dyDescent="0.2">
      <c r="L33" s="17" t="s">
        <v>72</v>
      </c>
      <c r="M33" s="15">
        <f>COUNTIFS(D5:D31,"*上*",J5:J31,"&lt;5",J5:J31,"&lt;&gt;")</f>
        <v>0</v>
      </c>
      <c r="N33" s="20" t="str">
        <f>REPT("█",M33)</f>
        <v/>
      </c>
    </row>
    <row r="34" spans="12:14" ht="14" x14ac:dyDescent="0.2">
      <c r="L34" s="17" t="s">
        <v>73</v>
      </c>
      <c r="M34" s="15">
        <f>COUNTIFS(D5:D31,"*中*",J5:J31,"&lt;5",J5:J31,"&lt;&gt;")</f>
        <v>0</v>
      </c>
      <c r="N34" s="20" t="str">
        <f>REPT("█",M34)</f>
        <v/>
      </c>
    </row>
    <row r="35" spans="12:14" ht="14" x14ac:dyDescent="0.2">
      <c r="L35" s="17" t="s">
        <v>74</v>
      </c>
      <c r="M35" s="15">
        <f>COUNTIFS(D5:D31,"*下*",J5:J31,"&lt;5",J5:J31,"&lt;&gt;")</f>
        <v>0</v>
      </c>
      <c r="N35" s="20" t="str">
        <f>REPT("█",M35)</f>
        <v/>
      </c>
    </row>
  </sheetData>
  <mergeCells count="3">
    <mergeCell ref="L4:O4"/>
    <mergeCell ref="A1:P1"/>
    <mergeCell ref="A2:P2"/>
  </mergeCells>
  <phoneticPr fontId="21"/>
  <dataValidations count="1">
    <dataValidation type="whole" allowBlank="1" errorTitle="入力エラー" error="MMTは0〜5の整数を入力してください" sqref="J5:J31" xr:uid="{00000000-0002-0000-0000-000000000000}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pane ySplit="4" topLeftCell="A5" activePane="bottomLeft" state="frozen"/>
      <selection pane="bottomLeft" sqref="A1:N1"/>
    </sheetView>
  </sheetViews>
  <sheetFormatPr defaultRowHeight="13" x14ac:dyDescent="0.2"/>
  <cols>
    <col min="1" max="1" width="16" customWidth="1"/>
    <col min="2" max="2" width="22" customWidth="1"/>
    <col min="3" max="9" width="5" customWidth="1"/>
    <col min="10" max="10" width="8" customWidth="1"/>
    <col min="12" max="12" width="24" customWidth="1"/>
    <col min="13" max="13" width="10" customWidth="1"/>
    <col min="14" max="14" width="35" customWidth="1"/>
  </cols>
  <sheetData>
    <row r="1" spans="1:15" ht="20" x14ac:dyDescent="0.2">
      <c r="A1" s="25" t="s">
        <v>75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5" x14ac:dyDescent="0.2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5" ht="18" x14ac:dyDescent="0.2">
      <c r="A4" s="1" t="s">
        <v>2</v>
      </c>
      <c r="B4" s="1" t="s">
        <v>3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 s="1" t="s">
        <v>82</v>
      </c>
      <c r="J4" s="2" t="s">
        <v>11</v>
      </c>
      <c r="L4" s="23" t="s">
        <v>12</v>
      </c>
      <c r="M4" s="24"/>
      <c r="N4" s="24"/>
      <c r="O4" s="24"/>
    </row>
    <row r="5" spans="1:15" ht="15.5" x14ac:dyDescent="0.2">
      <c r="A5" s="3" t="s">
        <v>83</v>
      </c>
      <c r="B5" s="4" t="s">
        <v>84</v>
      </c>
      <c r="C5" s="7">
        <v>1</v>
      </c>
      <c r="D5" s="7">
        <v>1</v>
      </c>
      <c r="E5" s="7">
        <v>1</v>
      </c>
      <c r="F5" s="8">
        <v>0</v>
      </c>
      <c r="G5" s="8">
        <v>0</v>
      </c>
      <c r="H5" s="8">
        <v>0</v>
      </c>
      <c r="I5" s="8">
        <v>0</v>
      </c>
      <c r="J5" s="9"/>
    </row>
    <row r="6" spans="1:15" ht="15.5" x14ac:dyDescent="0.35">
      <c r="A6" s="3" t="s">
        <v>85</v>
      </c>
      <c r="B6" s="4" t="s">
        <v>86</v>
      </c>
      <c r="C6" s="8">
        <v>0</v>
      </c>
      <c r="D6" s="8">
        <v>0</v>
      </c>
      <c r="E6" s="8">
        <v>0</v>
      </c>
      <c r="F6" s="7">
        <v>1</v>
      </c>
      <c r="G6" s="10">
        <v>4</v>
      </c>
      <c r="H6" s="7">
        <v>1</v>
      </c>
      <c r="I6" s="8">
        <v>0</v>
      </c>
      <c r="J6" s="9"/>
      <c r="L6" s="12" t="s">
        <v>19</v>
      </c>
    </row>
    <row r="7" spans="1:15" ht="15.5" x14ac:dyDescent="0.2">
      <c r="A7" s="3" t="s">
        <v>87</v>
      </c>
      <c r="B7" s="4" t="s">
        <v>88</v>
      </c>
      <c r="C7" s="8">
        <v>0</v>
      </c>
      <c r="D7" s="8">
        <v>0</v>
      </c>
      <c r="E7" s="8">
        <v>0</v>
      </c>
      <c r="F7" s="8">
        <v>0</v>
      </c>
      <c r="G7" s="7">
        <v>1</v>
      </c>
      <c r="H7" s="6">
        <v>2</v>
      </c>
      <c r="I7" s="7">
        <v>1</v>
      </c>
      <c r="J7" s="9"/>
      <c r="L7" s="13" t="s">
        <v>24</v>
      </c>
      <c r="M7" s="13" t="s">
        <v>25</v>
      </c>
      <c r="N7" s="13" t="s">
        <v>26</v>
      </c>
    </row>
    <row r="8" spans="1:15" ht="15.5" x14ac:dyDescent="0.2">
      <c r="A8" s="3" t="s">
        <v>89</v>
      </c>
      <c r="B8" s="4" t="s">
        <v>90</v>
      </c>
      <c r="C8" s="8">
        <v>0</v>
      </c>
      <c r="D8" s="8">
        <v>0</v>
      </c>
      <c r="E8" s="8">
        <v>0</v>
      </c>
      <c r="F8" s="6">
        <v>2</v>
      </c>
      <c r="G8" s="10">
        <v>4</v>
      </c>
      <c r="H8" s="8">
        <v>0</v>
      </c>
      <c r="I8" s="8">
        <v>0</v>
      </c>
      <c r="J8" s="9"/>
      <c r="L8" s="14" t="s">
        <v>76</v>
      </c>
      <c r="M8" s="15">
        <f>SUMPRODUCT((J5:J20&lt;&gt;"")*(J5:J20&lt;5)*(5-J5:J20)*C5:C20)</f>
        <v>0</v>
      </c>
      <c r="N8" s="16" t="str">
        <f t="shared" ref="N8:N14" si="0">REPT("█",MIN(M8,30))</f>
        <v/>
      </c>
    </row>
    <row r="9" spans="1:15" ht="15.5" x14ac:dyDescent="0.2">
      <c r="A9" s="3" t="s">
        <v>91</v>
      </c>
      <c r="B9" s="4" t="s">
        <v>92</v>
      </c>
      <c r="C9" s="8">
        <v>0</v>
      </c>
      <c r="D9" s="8">
        <v>0</v>
      </c>
      <c r="E9" s="8">
        <v>0</v>
      </c>
      <c r="F9" s="7">
        <v>1</v>
      </c>
      <c r="G9" s="10">
        <v>4</v>
      </c>
      <c r="H9" s="8">
        <v>0</v>
      </c>
      <c r="I9" s="8">
        <v>0</v>
      </c>
      <c r="J9" s="9"/>
      <c r="L9" s="14" t="s">
        <v>77</v>
      </c>
      <c r="M9" s="15">
        <f>SUMPRODUCT((J5:J20&lt;&gt;"")*(J5:J20&lt;5)*(5-J5:J20)*D5:D20)</f>
        <v>0</v>
      </c>
      <c r="N9" s="16" t="str">
        <f t="shared" si="0"/>
        <v/>
      </c>
    </row>
    <row r="10" spans="1:15" ht="15.5" x14ac:dyDescent="0.2">
      <c r="A10" s="3" t="s">
        <v>93</v>
      </c>
      <c r="B10" s="4" t="s">
        <v>92</v>
      </c>
      <c r="C10" s="8">
        <v>0</v>
      </c>
      <c r="D10" s="8">
        <v>0</v>
      </c>
      <c r="E10" s="8">
        <v>0</v>
      </c>
      <c r="F10" s="8">
        <v>0</v>
      </c>
      <c r="G10" s="10">
        <v>4</v>
      </c>
      <c r="H10" s="6">
        <v>2</v>
      </c>
      <c r="I10" s="8">
        <v>0</v>
      </c>
      <c r="J10" s="9"/>
      <c r="L10" s="14" t="s">
        <v>78</v>
      </c>
      <c r="M10" s="15">
        <f>SUMPRODUCT((J5:J20&lt;&gt;"")*(J5:J20&lt;5)*(5-J5:J20)*E5:E20)</f>
        <v>0</v>
      </c>
      <c r="N10" s="16" t="str">
        <f t="shared" si="0"/>
        <v/>
      </c>
    </row>
    <row r="11" spans="1:15" ht="15.5" x14ac:dyDescent="0.2">
      <c r="A11" s="3" t="s">
        <v>94</v>
      </c>
      <c r="B11" s="4" t="s">
        <v>95</v>
      </c>
      <c r="C11" s="8">
        <v>0</v>
      </c>
      <c r="D11" s="6">
        <v>2</v>
      </c>
      <c r="E11" s="6">
        <v>2</v>
      </c>
      <c r="F11" s="6">
        <v>2</v>
      </c>
      <c r="G11" s="8">
        <v>0</v>
      </c>
      <c r="H11" s="8">
        <v>0</v>
      </c>
      <c r="I11" s="8">
        <v>0</v>
      </c>
      <c r="J11" s="9"/>
      <c r="L11" s="14" t="s">
        <v>79</v>
      </c>
      <c r="M11" s="15">
        <f>SUMPRODUCT((J5:J20&lt;&gt;"")*(J5:J20&lt;5)*(5-J5:J20)*F5:F20)</f>
        <v>0</v>
      </c>
      <c r="N11" s="16" t="str">
        <f t="shared" si="0"/>
        <v/>
      </c>
    </row>
    <row r="12" spans="1:15" ht="15.5" x14ac:dyDescent="0.2">
      <c r="A12" s="3" t="s">
        <v>96</v>
      </c>
      <c r="B12" s="4" t="s">
        <v>97</v>
      </c>
      <c r="C12" s="8">
        <v>0</v>
      </c>
      <c r="D12" s="8">
        <v>0</v>
      </c>
      <c r="E12" s="11">
        <v>3</v>
      </c>
      <c r="F12" s="11">
        <v>3</v>
      </c>
      <c r="G12" s="8">
        <v>0</v>
      </c>
      <c r="H12" s="8">
        <v>0</v>
      </c>
      <c r="I12" s="8">
        <v>0</v>
      </c>
      <c r="J12" s="9"/>
      <c r="L12" s="14" t="s">
        <v>80</v>
      </c>
      <c r="M12" s="15">
        <f>SUMPRODUCT((J5:J20&lt;&gt;"")*(J5:J20&lt;5)*(5-J5:J20)*G5:G20)</f>
        <v>0</v>
      </c>
      <c r="N12" s="16" t="str">
        <f t="shared" si="0"/>
        <v/>
      </c>
    </row>
    <row r="13" spans="1:15" ht="15.5" x14ac:dyDescent="0.2">
      <c r="A13" s="3" t="s">
        <v>98</v>
      </c>
      <c r="B13" s="4" t="s">
        <v>99</v>
      </c>
      <c r="C13" s="8">
        <v>0</v>
      </c>
      <c r="D13" s="8">
        <v>0</v>
      </c>
      <c r="E13" s="8">
        <v>0</v>
      </c>
      <c r="F13" s="8">
        <v>0</v>
      </c>
      <c r="G13" s="6">
        <v>2</v>
      </c>
      <c r="H13" s="6">
        <v>2</v>
      </c>
      <c r="I13" s="7">
        <v>1</v>
      </c>
      <c r="J13" s="9"/>
      <c r="L13" s="14" t="s">
        <v>81</v>
      </c>
      <c r="M13" s="15">
        <f>SUMPRODUCT((J5:J20&lt;&gt;"")*(J5:J20&lt;5)*(5-J5:J20)*H5:H20)</f>
        <v>0</v>
      </c>
      <c r="N13" s="16" t="str">
        <f t="shared" si="0"/>
        <v/>
      </c>
    </row>
    <row r="14" spans="1:15" ht="15.5" x14ac:dyDescent="0.2">
      <c r="A14" s="3" t="s">
        <v>100</v>
      </c>
      <c r="B14" s="4" t="s">
        <v>90</v>
      </c>
      <c r="C14" s="8">
        <v>0</v>
      </c>
      <c r="D14" s="8">
        <v>0</v>
      </c>
      <c r="E14" s="8">
        <v>0</v>
      </c>
      <c r="F14" s="8">
        <v>0</v>
      </c>
      <c r="G14" s="10">
        <v>4</v>
      </c>
      <c r="H14" s="8">
        <v>0</v>
      </c>
      <c r="I14" s="8">
        <v>0</v>
      </c>
      <c r="J14" s="9"/>
      <c r="L14" s="14" t="s">
        <v>82</v>
      </c>
      <c r="M14" s="15">
        <f>SUMPRODUCT((J5:J20&lt;&gt;"")*(J5:J20&lt;5)*(5-J5:J20)*I5:I20)</f>
        <v>0</v>
      </c>
      <c r="N14" s="16" t="str">
        <f t="shared" si="0"/>
        <v/>
      </c>
    </row>
    <row r="15" spans="1:15" ht="15.5" x14ac:dyDescent="0.2">
      <c r="A15" s="3" t="s">
        <v>101</v>
      </c>
      <c r="B15" s="4" t="s">
        <v>90</v>
      </c>
      <c r="C15" s="8">
        <v>0</v>
      </c>
      <c r="D15" s="8">
        <v>0</v>
      </c>
      <c r="E15" s="8">
        <v>0</v>
      </c>
      <c r="F15" s="8">
        <v>0</v>
      </c>
      <c r="G15" s="10">
        <v>4</v>
      </c>
      <c r="H15" s="8">
        <v>0</v>
      </c>
      <c r="I15" s="8">
        <v>0</v>
      </c>
      <c r="J15" s="9"/>
    </row>
    <row r="16" spans="1:15" ht="15.5" x14ac:dyDescent="0.35">
      <c r="A16" s="3" t="s">
        <v>102</v>
      </c>
      <c r="B16" s="4" t="s">
        <v>103</v>
      </c>
      <c r="C16" s="8">
        <v>0</v>
      </c>
      <c r="D16" s="8">
        <v>0</v>
      </c>
      <c r="E16" s="8">
        <v>0</v>
      </c>
      <c r="F16" s="8">
        <v>0</v>
      </c>
      <c r="G16" s="10">
        <v>4</v>
      </c>
      <c r="H16" s="7">
        <v>1</v>
      </c>
      <c r="I16" s="8">
        <v>0</v>
      </c>
      <c r="J16" s="9"/>
      <c r="L16" s="12" t="s">
        <v>40</v>
      </c>
    </row>
    <row r="17" spans="1:14" ht="15.5" x14ac:dyDescent="0.2">
      <c r="A17" s="3" t="s">
        <v>104</v>
      </c>
      <c r="B17" s="4" t="s">
        <v>92</v>
      </c>
      <c r="C17" s="8">
        <v>0</v>
      </c>
      <c r="D17" s="8">
        <v>0</v>
      </c>
      <c r="E17" s="8">
        <v>0</v>
      </c>
      <c r="F17" s="8">
        <v>0</v>
      </c>
      <c r="G17" s="6">
        <v>2</v>
      </c>
      <c r="H17" s="10">
        <v>4</v>
      </c>
      <c r="I17" s="8">
        <v>0</v>
      </c>
      <c r="J17" s="9"/>
      <c r="L17" s="13" t="s">
        <v>42</v>
      </c>
      <c r="M17" s="13" t="s">
        <v>43</v>
      </c>
      <c r="N17" s="13" t="s">
        <v>26</v>
      </c>
    </row>
    <row r="18" spans="1:14" ht="15.5" x14ac:dyDescent="0.2">
      <c r="A18" s="3" t="s">
        <v>105</v>
      </c>
      <c r="B18" s="4" t="s">
        <v>92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0">
        <v>4</v>
      </c>
      <c r="I18" s="6">
        <v>2</v>
      </c>
      <c r="J18" s="9"/>
      <c r="L18" s="17" t="s">
        <v>84</v>
      </c>
      <c r="M18" s="15">
        <f>COUNTIFS(B5:B20,"大腿神経/腰神経叢",J5:J20,"&lt;5",J5:J20,"&lt;&gt;")</f>
        <v>0</v>
      </c>
      <c r="N18" s="18" t="str">
        <f t="shared" ref="N18:N26" si="1">REPT("█",M18)</f>
        <v/>
      </c>
    </row>
    <row r="19" spans="1:14" ht="15.5" x14ac:dyDescent="0.2">
      <c r="A19" s="3" t="s">
        <v>106</v>
      </c>
      <c r="B19" s="4" t="s">
        <v>92</v>
      </c>
      <c r="C19" s="8">
        <v>0</v>
      </c>
      <c r="D19" s="8">
        <v>0</v>
      </c>
      <c r="E19" s="8">
        <v>0</v>
      </c>
      <c r="F19" s="8">
        <v>0</v>
      </c>
      <c r="G19" s="10">
        <v>4</v>
      </c>
      <c r="H19" s="6">
        <v>2</v>
      </c>
      <c r="I19" s="8">
        <v>0</v>
      </c>
      <c r="J19" s="9"/>
      <c r="L19" s="17" t="s">
        <v>86</v>
      </c>
      <c r="M19" s="15">
        <f>COUNTIFS(B5:B20,"上殿神経",J5:J20,"&lt;5",J5:J20,"&lt;&gt;")</f>
        <v>0</v>
      </c>
      <c r="N19" s="18" t="str">
        <f t="shared" si="1"/>
        <v/>
      </c>
    </row>
    <row r="20" spans="1:14" ht="15.5" x14ac:dyDescent="0.2">
      <c r="A20" s="3" t="s">
        <v>107</v>
      </c>
      <c r="B20" s="4" t="s">
        <v>92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10">
        <v>4</v>
      </c>
      <c r="I20" s="6">
        <v>2</v>
      </c>
      <c r="J20" s="9"/>
      <c r="L20" s="17" t="s">
        <v>88</v>
      </c>
      <c r="M20" s="15">
        <f>COUNTIFS(B5:B20,"下殿神経",J5:J20,"&lt;5",J5:J20,"&lt;&gt;")</f>
        <v>0</v>
      </c>
      <c r="N20" s="18" t="str">
        <f t="shared" si="1"/>
        <v/>
      </c>
    </row>
    <row r="21" spans="1:14" ht="14" x14ac:dyDescent="0.2">
      <c r="L21" s="17" t="s">
        <v>90</v>
      </c>
      <c r="M21" s="15">
        <f>COUNTIFS(B5:B20,"深腓骨神経",J5:J20,"&lt;5",J5:J20,"&lt;&gt;")</f>
        <v>0</v>
      </c>
      <c r="N21" s="18" t="str">
        <f t="shared" si="1"/>
        <v/>
      </c>
    </row>
    <row r="22" spans="1:14" ht="14" x14ac:dyDescent="0.2">
      <c r="L22" s="17" t="s">
        <v>92</v>
      </c>
      <c r="M22" s="15">
        <f>COUNTIFS(B5:B20,"脛骨神経",J5:J20,"&lt;5",J5:J20,"&lt;&gt;")</f>
        <v>0</v>
      </c>
      <c r="N22" s="18" t="str">
        <f t="shared" si="1"/>
        <v/>
      </c>
    </row>
    <row r="23" spans="1:14" ht="14" x14ac:dyDescent="0.2">
      <c r="L23" s="17" t="s">
        <v>95</v>
      </c>
      <c r="M23" s="15">
        <f>COUNTIFS(B5:B20,"閉鎖神経",J5:J20,"&lt;5",J5:J20,"&lt;&gt;")</f>
        <v>0</v>
      </c>
      <c r="N23" s="18" t="str">
        <f t="shared" si="1"/>
        <v/>
      </c>
    </row>
    <row r="24" spans="1:14" ht="14" x14ac:dyDescent="0.2">
      <c r="L24" s="17" t="s">
        <v>97</v>
      </c>
      <c r="M24" s="15">
        <f>COUNTIFS(B5:B20,"大腿神経",J5:J20,"&lt;5",J5:J20,"&lt;&gt;")</f>
        <v>0</v>
      </c>
      <c r="N24" s="18" t="str">
        <f t="shared" si="1"/>
        <v/>
      </c>
    </row>
    <row r="25" spans="1:14" ht="14" x14ac:dyDescent="0.2">
      <c r="L25" s="17" t="s">
        <v>99</v>
      </c>
      <c r="M25" s="15">
        <f>COUNTIFS(B5:B20,"脛骨神経/総腓骨神経",J5:J20,"&lt;5",J5:J20,"&lt;&gt;")</f>
        <v>0</v>
      </c>
      <c r="N25" s="18" t="str">
        <f t="shared" si="1"/>
        <v/>
      </c>
    </row>
    <row r="26" spans="1:14" ht="14" x14ac:dyDescent="0.2">
      <c r="L26" s="17" t="s">
        <v>103</v>
      </c>
      <c r="M26" s="15">
        <f>COUNTIFS(B5:B20,"浅腓骨神経",J5:J20,"&lt;5",J5:J20,"&lt;&gt;")</f>
        <v>0</v>
      </c>
      <c r="N26" s="18" t="str">
        <f t="shared" si="1"/>
        <v/>
      </c>
    </row>
  </sheetData>
  <mergeCells count="3">
    <mergeCell ref="L4:O4"/>
    <mergeCell ref="A2:N2"/>
    <mergeCell ref="A1:N1"/>
  </mergeCells>
  <phoneticPr fontId="21"/>
  <dataValidations count="1">
    <dataValidation type="whole" allowBlank="1" errorTitle="入力エラー" error="MMTは0〜5の整数を入力してください" sqref="J5:J20" xr:uid="{00000000-0002-0000-0100-000000000000}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opLeftCell="A6" workbookViewId="0">
      <selection sqref="A1:F1"/>
    </sheetView>
  </sheetViews>
  <sheetFormatPr defaultRowHeight="13" x14ac:dyDescent="0.2"/>
  <cols>
    <col min="1" max="1" width="20" customWidth="1"/>
    <col min="2" max="2" width="60" customWidth="1"/>
  </cols>
  <sheetData>
    <row r="1" spans="1:6" ht="20" x14ac:dyDescent="0.2">
      <c r="A1" s="27" t="s">
        <v>108</v>
      </c>
      <c r="B1" s="24"/>
      <c r="C1" s="24"/>
      <c r="D1" s="24"/>
      <c r="E1" s="24"/>
      <c r="F1" s="24"/>
    </row>
    <row r="3" spans="1:6" ht="14" x14ac:dyDescent="0.3">
      <c r="A3" s="21"/>
      <c r="B3" s="22"/>
    </row>
    <row r="4" spans="1:6" ht="15.5" x14ac:dyDescent="0.35">
      <c r="A4" s="12" t="s">
        <v>109</v>
      </c>
      <c r="B4" s="22"/>
    </row>
    <row r="5" spans="1:6" ht="14" x14ac:dyDescent="0.3">
      <c r="A5" s="21" t="s">
        <v>110</v>
      </c>
      <c r="B5" s="22" t="s">
        <v>111</v>
      </c>
    </row>
    <row r="6" spans="1:6" ht="14" x14ac:dyDescent="0.3">
      <c r="A6" s="21" t="s">
        <v>112</v>
      </c>
      <c r="B6" s="22" t="s">
        <v>113</v>
      </c>
    </row>
    <row r="7" spans="1:6" ht="14" x14ac:dyDescent="0.3">
      <c r="A7" s="21" t="s">
        <v>114</v>
      </c>
      <c r="B7" s="22" t="s">
        <v>115</v>
      </c>
    </row>
    <row r="8" spans="1:6" ht="14" x14ac:dyDescent="0.3">
      <c r="A8" s="21" t="s">
        <v>116</v>
      </c>
      <c r="B8" s="22" t="s">
        <v>117</v>
      </c>
    </row>
    <row r="9" spans="1:6" ht="14" x14ac:dyDescent="0.3">
      <c r="A9" s="21" t="s">
        <v>118</v>
      </c>
      <c r="B9" s="22" t="s">
        <v>119</v>
      </c>
    </row>
    <row r="10" spans="1:6" ht="14" x14ac:dyDescent="0.3">
      <c r="A10" s="21"/>
      <c r="B10" s="22"/>
    </row>
    <row r="11" spans="1:6" ht="25" x14ac:dyDescent="0.35">
      <c r="A11" s="12" t="s">
        <v>120</v>
      </c>
      <c r="B11" s="22" t="s">
        <v>121</v>
      </c>
    </row>
    <row r="12" spans="1:6" ht="14" x14ac:dyDescent="0.3">
      <c r="A12" s="21"/>
      <c r="B12" s="22"/>
    </row>
    <row r="13" spans="1:6" ht="15.5" x14ac:dyDescent="0.35">
      <c r="A13" s="12" t="s">
        <v>122</v>
      </c>
      <c r="B13" s="22"/>
    </row>
    <row r="14" spans="1:6" ht="14" x14ac:dyDescent="0.3">
      <c r="A14" s="21" t="s">
        <v>123</v>
      </c>
      <c r="B14" s="22" t="s">
        <v>124</v>
      </c>
    </row>
    <row r="15" spans="1:6" ht="14" x14ac:dyDescent="0.3">
      <c r="A15" s="21" t="s">
        <v>125</v>
      </c>
      <c r="B15" s="22" t="s">
        <v>126</v>
      </c>
    </row>
    <row r="16" spans="1:6" ht="14" x14ac:dyDescent="0.3">
      <c r="A16" s="21" t="s">
        <v>127</v>
      </c>
      <c r="B16" s="22" t="s">
        <v>128</v>
      </c>
    </row>
    <row r="17" spans="1:2" ht="14" x14ac:dyDescent="0.3">
      <c r="A17" s="21" t="s">
        <v>129</v>
      </c>
      <c r="B17" s="22" t="s">
        <v>130</v>
      </c>
    </row>
    <row r="18" spans="1:2" ht="14" x14ac:dyDescent="0.3">
      <c r="A18" s="21" t="s">
        <v>131</v>
      </c>
      <c r="B18" s="22" t="s">
        <v>132</v>
      </c>
    </row>
    <row r="19" spans="1:2" ht="14" x14ac:dyDescent="0.3">
      <c r="A19" s="21"/>
      <c r="B19" s="22"/>
    </row>
    <row r="20" spans="1:2" ht="15.5" x14ac:dyDescent="0.35">
      <c r="A20" s="12" t="s">
        <v>133</v>
      </c>
      <c r="B20" s="22"/>
    </row>
    <row r="21" spans="1:2" ht="14" x14ac:dyDescent="0.3">
      <c r="A21" s="21" t="s">
        <v>31</v>
      </c>
      <c r="B21" s="22" t="s">
        <v>134</v>
      </c>
    </row>
    <row r="22" spans="1:2" ht="14" x14ac:dyDescent="0.3">
      <c r="A22" s="21" t="s">
        <v>47</v>
      </c>
      <c r="B22" s="22" t="s">
        <v>135</v>
      </c>
    </row>
    <row r="23" spans="1:2" ht="14" x14ac:dyDescent="0.3">
      <c r="A23" s="21" t="s">
        <v>22</v>
      </c>
      <c r="B23" s="22" t="s">
        <v>136</v>
      </c>
    </row>
    <row r="24" spans="1:2" ht="14" x14ac:dyDescent="0.3">
      <c r="A24" s="21" t="s">
        <v>50</v>
      </c>
      <c r="B24" s="22" t="s">
        <v>137</v>
      </c>
    </row>
    <row r="25" spans="1:2" ht="14" x14ac:dyDescent="0.3">
      <c r="A25" s="21"/>
      <c r="B25" s="22"/>
    </row>
    <row r="26" spans="1:2" ht="15.5" x14ac:dyDescent="0.35">
      <c r="A26" s="12" t="s">
        <v>138</v>
      </c>
      <c r="B26" s="22"/>
    </row>
    <row r="27" spans="1:2" ht="14" x14ac:dyDescent="0.3">
      <c r="A27" s="21" t="s">
        <v>18</v>
      </c>
      <c r="B27" s="22" t="s">
        <v>139</v>
      </c>
    </row>
    <row r="28" spans="1:2" ht="14" x14ac:dyDescent="0.3">
      <c r="A28" s="21" t="s">
        <v>23</v>
      </c>
      <c r="B28" s="22" t="s">
        <v>140</v>
      </c>
    </row>
    <row r="29" spans="1:2" ht="14" x14ac:dyDescent="0.3">
      <c r="A29" s="21" t="s">
        <v>36</v>
      </c>
      <c r="B29" s="22" t="s">
        <v>141</v>
      </c>
    </row>
    <row r="30" spans="1:2" ht="14" x14ac:dyDescent="0.3">
      <c r="A30" s="21" t="s">
        <v>51</v>
      </c>
      <c r="B30" s="22" t="s">
        <v>142</v>
      </c>
    </row>
    <row r="31" spans="1:2" ht="14" x14ac:dyDescent="0.3">
      <c r="A31" s="21" t="s">
        <v>38</v>
      </c>
      <c r="B31" s="22" t="s">
        <v>143</v>
      </c>
    </row>
  </sheetData>
  <mergeCells count="1">
    <mergeCell ref="A1:F1"/>
  </mergeCells>
  <phoneticPr fontId="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上肢</vt:lpstr>
      <vt:lpstr>下肢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久司 今村</cp:lastModifiedBy>
  <dcterms:created xsi:type="dcterms:W3CDTF">2026-03-12T15:18:15Z</dcterms:created>
  <dcterms:modified xsi:type="dcterms:W3CDTF">2026-03-12T15:20:50Z</dcterms:modified>
</cp:coreProperties>
</file>