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c5d66dd010fbc96/Documents/Claude_task/"/>
    </mc:Choice>
  </mc:AlternateContent>
  <xr:revisionPtr revIDLastSave="0" documentId="8_{C21097A3-B2AE-456E-8C15-10551C505AF4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入力" sheetId="1" r:id="rId1"/>
    <sheet name="結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<sst xmlns="http://schemas.openxmlformats.org/spreadsheetml/2006/main" count="136" uniqueCount="66">
  <si>
    <t>上肢 神経障害部位推測ツール（修正版）</t>
  </si>
  <si>
    <t>筋肉名</t>
  </si>
  <si>
    <t>支配神経</t>
  </si>
  <si>
    <t>MMT(0-5)</t>
  </si>
  <si>
    <t>C5</t>
  </si>
  <si>
    <t>C6</t>
  </si>
  <si>
    <t>C7</t>
  </si>
  <si>
    <t>C8</t>
  </si>
  <si>
    <t>T1</t>
  </si>
  <si>
    <t>前鋸筋</t>
  </si>
  <si>
    <t>長胸神経</t>
  </si>
  <si>
    <t>棘下筋</t>
  </si>
  <si>
    <t>肩甲上神経</t>
  </si>
  <si>
    <t>広背筋</t>
  </si>
  <si>
    <t>胸背神経</t>
  </si>
  <si>
    <t>三角筋</t>
  </si>
  <si>
    <t>腋窩神経</t>
  </si>
  <si>
    <t>上腕二頭筋</t>
  </si>
  <si>
    <t>筋皮神経</t>
  </si>
  <si>
    <t>上腕三頭筋</t>
  </si>
  <si>
    <t>橈骨神経</t>
  </si>
  <si>
    <t>腕橈骨筋</t>
  </si>
  <si>
    <t>総指伸筋</t>
  </si>
  <si>
    <t>尺側手根伸筋</t>
  </si>
  <si>
    <t>長母指伸筋</t>
  </si>
  <si>
    <t>短母指伸筋</t>
  </si>
  <si>
    <t>円回内筋</t>
  </si>
  <si>
    <t>正中神経</t>
  </si>
  <si>
    <t>浅指屈筋</t>
  </si>
  <si>
    <t>深指屈筋(示)</t>
  </si>
  <si>
    <t>長母指屈筋</t>
  </si>
  <si>
    <t>方形回内筋</t>
  </si>
  <si>
    <t>短母指外転筋</t>
  </si>
  <si>
    <t>深指屈筋(小)</t>
  </si>
  <si>
    <t>尺骨神経</t>
  </si>
  <si>
    <t>小指外転筋</t>
  </si>
  <si>
    <t>橈側手根伸筋</t>
  </si>
  <si>
    <t>尺側手根屈筋</t>
  </si>
  <si>
    <t>第一背側骨間筋</t>
  </si>
  <si>
    <t>第一掌側骨間筋</t>
  </si>
  <si>
    <t>解析結果</t>
  </si>
  <si>
    <t>■ 脊髄レベル別スコア</t>
  </si>
  <si>
    <t>■ 末梢神経別 障害筋数</t>
  </si>
  <si>
    <t>神経名</t>
  </si>
  <si>
    <t>障害筋数</t>
  </si>
  <si>
    <t>支配筋数</t>
  </si>
  <si>
    <t>※ 入力シートのMMT値を変更すると自動で結果が更新されます</t>
  </si>
  <si>
    <t>束</t>
    <rPh sb="0" eb="1">
      <t>タバ</t>
    </rPh>
    <phoneticPr fontId="12"/>
  </si>
  <si>
    <t>幹</t>
    <rPh sb="0" eb="1">
      <t>ミキ</t>
    </rPh>
    <phoneticPr fontId="12"/>
  </si>
  <si>
    <t>上</t>
    <rPh sb="0" eb="1">
      <t>ウエ</t>
    </rPh>
    <phoneticPr fontId="12"/>
  </si>
  <si>
    <t>中</t>
    <rPh sb="0" eb="1">
      <t>ナカ</t>
    </rPh>
    <phoneticPr fontId="12"/>
  </si>
  <si>
    <t>後</t>
    <rPh sb="0" eb="1">
      <t>ウシ</t>
    </rPh>
    <phoneticPr fontId="12"/>
  </si>
  <si>
    <t>外</t>
    <rPh sb="0" eb="1">
      <t>ソト</t>
    </rPh>
    <phoneticPr fontId="12"/>
  </si>
  <si>
    <t>下</t>
    <rPh sb="0" eb="1">
      <t>シタ</t>
    </rPh>
    <phoneticPr fontId="12"/>
  </si>
  <si>
    <t>中下</t>
    <rPh sb="0" eb="1">
      <t>ナカ</t>
    </rPh>
    <rPh sb="1" eb="2">
      <t>シタ</t>
    </rPh>
    <phoneticPr fontId="12"/>
  </si>
  <si>
    <t>中下</t>
    <rPh sb="0" eb="2">
      <t>ナカシタ</t>
    </rPh>
    <phoneticPr fontId="12"/>
  </si>
  <si>
    <t>内</t>
    <rPh sb="0" eb="1">
      <t>ウチ</t>
    </rPh>
    <phoneticPr fontId="12"/>
  </si>
  <si>
    <t>外内</t>
    <rPh sb="0" eb="1">
      <t>ソト</t>
    </rPh>
    <rPh sb="1" eb="2">
      <t>ウチ</t>
    </rPh>
    <phoneticPr fontId="12"/>
  </si>
  <si>
    <t>上中下</t>
    <rPh sb="0" eb="3">
      <t>ジョウチュウゲ</t>
    </rPh>
    <phoneticPr fontId="12"/>
  </si>
  <si>
    <t>外内</t>
    <rPh sb="0" eb="2">
      <t>ソトウチ</t>
    </rPh>
    <phoneticPr fontId="12"/>
  </si>
  <si>
    <t>母指対立筋</t>
    <rPh sb="0" eb="2">
      <t>ボシ</t>
    </rPh>
    <rPh sb="2" eb="5">
      <t>タイリツキン</t>
    </rPh>
    <phoneticPr fontId="12"/>
  </si>
  <si>
    <t>正中神経</t>
    <phoneticPr fontId="12"/>
  </si>
  <si>
    <t>母指内転筋</t>
    <rPh sb="0" eb="2">
      <t>ボシ</t>
    </rPh>
    <rPh sb="2" eb="5">
      <t>ナイテンキン</t>
    </rPh>
    <phoneticPr fontId="12"/>
  </si>
  <si>
    <t>尺骨神経</t>
    <phoneticPr fontId="12"/>
  </si>
  <si>
    <t>第１、第２虫様筋</t>
    <rPh sb="0" eb="1">
      <t>ダイ</t>
    </rPh>
    <rPh sb="3" eb="4">
      <t>ダイ</t>
    </rPh>
    <rPh sb="5" eb="8">
      <t>チュウヨウキン</t>
    </rPh>
    <phoneticPr fontId="12"/>
  </si>
  <si>
    <t>第３、第４虫様筋</t>
    <rPh sb="0" eb="1">
      <t>ダイ</t>
    </rPh>
    <rPh sb="3" eb="4">
      <t>ダイ</t>
    </rPh>
    <rPh sb="5" eb="8">
      <t>チュウヨウキン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</si>
</sst>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14"/>
      <color rgb="FFFFFFFF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b/>
      <sz val="12"/>
      <color rgb="FF0000FF"/>
      <name val="游ゴシック"/>
      <family val="3"/>
      <charset val="128"/>
    </font>
    <font>
      <sz val="11"/>
      <color rgb="FF333333"/>
      <name val="游ゴシック"/>
      <family val="3"/>
      <charset val="128"/>
    </font>
    <font>
      <sz val="11"/>
      <color rgb="FF999999"/>
      <name val="游ゴシック"/>
      <family val="3"/>
      <charset val="128"/>
    </font>
    <font>
      <b/>
      <sz val="11"/>
      <color rgb="FF1B3A5C"/>
      <name val="游ゴシック"/>
      <family val="3"/>
      <charset val="128"/>
    </font>
    <font>
      <b/>
      <sz val="14"/>
      <color rgb="FF1B3A5C"/>
      <name val="游ゴシック"/>
      <family val="3"/>
      <charset val="128"/>
    </font>
    <font>
      <b/>
      <sz val="12"/>
      <color rgb="FFDC3545"/>
      <name val="游ゴシック"/>
      <family val="3"/>
      <charset val="128"/>
    </font>
    <font>
      <sz val="10"/>
      <color rgb="FF888888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C5AA0"/>
      </patternFill>
    </fill>
    <fill>
      <patternFill patternType="solid">
        <fgColor rgb="FFE8F0FE"/>
      </patternFill>
    </fill>
    <fill>
      <patternFill patternType="solid">
        <fgColor rgb="FFFFFFF0"/>
      </patternFill>
    </fill>
    <fill>
      <patternFill patternType="solid">
        <fgColor rgb="FFB0D4F1"/>
      </patternFill>
    </fill>
    <fill>
      <patternFill patternType="solid">
        <fgColor rgb="FFDCEEFB"/>
      </patternFill>
    </fill>
    <fill>
      <patternFill patternType="solid">
        <fgColor rgb="FFFFFFFF"/>
      </patternFill>
    </fill>
    <fill>
      <patternFill patternType="solid">
        <fgColor rgb="FF2171B5"/>
      </patternFill>
    </fill>
    <fill>
      <patternFill patternType="solid">
        <fgColor rgb="FF6BAED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0" borderId="0" xfId="0" applyFont="1"/>
    <xf numFmtId="0" fontId="2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3" fillId="0" borderId="1" xfId="0" applyFont="1" applyBorder="1"/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0" xfId="0" applyFont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4" borderId="2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10" workbookViewId="0">
      <selection activeCell="L26" sqref="L26"/>
    </sheetView>
  </sheetViews>
  <sheetFormatPr defaultRowHeight="13"/>
  <cols>
    <col min="1" max="1" width="18" customWidth="1"/>
    <col min="2" max="2" width="22" customWidth="1"/>
    <col min="3" max="5" width="12" customWidth="1"/>
    <col min="6" max="10" width="8" customWidth="1"/>
  </cols>
  <sheetData>
    <row r="1" spans="1:10" ht="36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8" customHeight="1">
      <c r="A2" s="1" t="s">
        <v>1</v>
      </c>
      <c r="B2" s="1" t="s">
        <v>2</v>
      </c>
      <c r="C2" s="1" t="s">
        <v>3</v>
      </c>
      <c r="D2" s="1" t="s">
        <v>47</v>
      </c>
      <c r="E2" s="1" t="s">
        <v>48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20">
      <c r="A3" s="2" t="s">
        <v>9</v>
      </c>
      <c r="B3" s="3" t="s">
        <v>10</v>
      </c>
      <c r="C3" s="4">
        <v>5</v>
      </c>
      <c r="D3" s="4"/>
      <c r="E3" s="4"/>
      <c r="F3" s="5">
        <v>2</v>
      </c>
      <c r="G3" s="6">
        <v>1</v>
      </c>
      <c r="H3" s="6">
        <v>1</v>
      </c>
      <c r="I3" s="7">
        <v>0</v>
      </c>
      <c r="J3" s="7">
        <v>0</v>
      </c>
    </row>
    <row r="4" spans="1:10" ht="20">
      <c r="A4" s="2" t="s">
        <v>11</v>
      </c>
      <c r="B4" s="3" t="s">
        <v>12</v>
      </c>
      <c r="C4" s="4">
        <v>5</v>
      </c>
      <c r="D4" s="4"/>
      <c r="E4" s="4" t="s">
        <v>49</v>
      </c>
      <c r="F4" s="8">
        <v>4</v>
      </c>
      <c r="G4" s="9">
        <v>3</v>
      </c>
      <c r="H4" s="7">
        <v>0</v>
      </c>
      <c r="I4" s="7">
        <v>0</v>
      </c>
      <c r="J4" s="7">
        <v>0</v>
      </c>
    </row>
    <row r="5" spans="1:10" ht="20">
      <c r="A5" s="2" t="s">
        <v>13</v>
      </c>
      <c r="B5" s="3" t="s">
        <v>14</v>
      </c>
      <c r="C5" s="4">
        <v>5</v>
      </c>
      <c r="D5" s="4" t="s">
        <v>51</v>
      </c>
      <c r="E5" s="4" t="s">
        <v>50</v>
      </c>
      <c r="F5" s="7">
        <v>0</v>
      </c>
      <c r="G5" s="6">
        <v>1</v>
      </c>
      <c r="H5" s="8">
        <v>4</v>
      </c>
      <c r="I5" s="6">
        <v>1</v>
      </c>
      <c r="J5" s="7">
        <v>0</v>
      </c>
    </row>
    <row r="6" spans="1:10" ht="20">
      <c r="A6" s="2" t="s">
        <v>15</v>
      </c>
      <c r="B6" s="3" t="s">
        <v>16</v>
      </c>
      <c r="C6" s="4">
        <v>5</v>
      </c>
      <c r="D6" s="4" t="s">
        <v>51</v>
      </c>
      <c r="E6" s="4" t="s">
        <v>49</v>
      </c>
      <c r="F6" s="8">
        <v>4</v>
      </c>
      <c r="G6" s="6">
        <v>1</v>
      </c>
      <c r="H6" s="7">
        <v>0</v>
      </c>
      <c r="I6" s="7">
        <v>0</v>
      </c>
      <c r="J6" s="7">
        <v>0</v>
      </c>
    </row>
    <row r="7" spans="1:10" ht="20">
      <c r="A7" s="2" t="s">
        <v>17</v>
      </c>
      <c r="B7" s="3" t="s">
        <v>18</v>
      </c>
      <c r="C7" s="4">
        <v>5</v>
      </c>
      <c r="D7" s="4" t="s">
        <v>52</v>
      </c>
      <c r="E7" s="4" t="s">
        <v>49</v>
      </c>
      <c r="F7" s="8">
        <v>4</v>
      </c>
      <c r="G7" s="9">
        <v>3</v>
      </c>
      <c r="H7" s="7">
        <v>0</v>
      </c>
      <c r="I7" s="7">
        <v>0</v>
      </c>
      <c r="J7" s="7">
        <v>0</v>
      </c>
    </row>
    <row r="8" spans="1:10" ht="20">
      <c r="A8" s="2" t="s">
        <v>19</v>
      </c>
      <c r="B8" s="3" t="s">
        <v>20</v>
      </c>
      <c r="C8" s="4">
        <v>5</v>
      </c>
      <c r="D8" s="4" t="s">
        <v>51</v>
      </c>
      <c r="E8" s="4" t="s">
        <v>50</v>
      </c>
      <c r="F8" s="7">
        <v>0</v>
      </c>
      <c r="G8" s="6">
        <v>1</v>
      </c>
      <c r="H8" s="8">
        <v>4</v>
      </c>
      <c r="I8" s="9">
        <v>3</v>
      </c>
      <c r="J8" s="7">
        <v>0</v>
      </c>
    </row>
    <row r="9" spans="1:10" ht="20">
      <c r="A9" s="2" t="s">
        <v>21</v>
      </c>
      <c r="B9" s="3" t="s">
        <v>20</v>
      </c>
      <c r="C9" s="4">
        <v>5</v>
      </c>
      <c r="D9" s="4" t="s">
        <v>51</v>
      </c>
      <c r="E9" s="4" t="s">
        <v>49</v>
      </c>
      <c r="F9" s="8">
        <v>4</v>
      </c>
      <c r="G9" s="6">
        <v>1</v>
      </c>
      <c r="H9" s="7">
        <v>0</v>
      </c>
      <c r="I9" s="7">
        <v>0</v>
      </c>
      <c r="J9" s="7">
        <v>0</v>
      </c>
    </row>
    <row r="10" spans="1:10" ht="20">
      <c r="A10" s="2" t="s">
        <v>22</v>
      </c>
      <c r="B10" s="3" t="s">
        <v>20</v>
      </c>
      <c r="C10" s="4">
        <v>5</v>
      </c>
      <c r="D10" s="4" t="s">
        <v>51</v>
      </c>
      <c r="E10" s="4" t="s">
        <v>53</v>
      </c>
      <c r="F10" s="7">
        <v>0</v>
      </c>
      <c r="G10" s="7">
        <v>0</v>
      </c>
      <c r="H10" s="9">
        <v>3</v>
      </c>
      <c r="I10" s="8">
        <v>4</v>
      </c>
      <c r="J10" s="7">
        <v>0</v>
      </c>
    </row>
    <row r="11" spans="1:10" ht="20">
      <c r="A11" s="2" t="s">
        <v>23</v>
      </c>
      <c r="B11" s="3" t="s">
        <v>20</v>
      </c>
      <c r="C11" s="4">
        <v>5</v>
      </c>
      <c r="D11" s="4" t="s">
        <v>51</v>
      </c>
      <c r="E11" s="4" t="s">
        <v>54</v>
      </c>
      <c r="F11" s="7">
        <v>0</v>
      </c>
      <c r="G11" s="6">
        <v>1</v>
      </c>
      <c r="H11" s="8">
        <v>4</v>
      </c>
      <c r="I11" s="5">
        <v>2</v>
      </c>
      <c r="J11" s="7">
        <v>0</v>
      </c>
    </row>
    <row r="12" spans="1:10" ht="20">
      <c r="A12" s="2" t="s">
        <v>24</v>
      </c>
      <c r="B12" s="3" t="s">
        <v>20</v>
      </c>
      <c r="C12" s="4">
        <v>5</v>
      </c>
      <c r="D12" s="4" t="s">
        <v>51</v>
      </c>
      <c r="E12" s="4" t="s">
        <v>55</v>
      </c>
      <c r="F12" s="7">
        <v>0</v>
      </c>
      <c r="G12" s="7">
        <v>0</v>
      </c>
      <c r="H12" s="6">
        <v>1</v>
      </c>
      <c r="I12" s="8">
        <v>4</v>
      </c>
      <c r="J12" s="6">
        <v>1</v>
      </c>
    </row>
    <row r="13" spans="1:10" ht="20">
      <c r="A13" s="2" t="s">
        <v>25</v>
      </c>
      <c r="B13" s="3" t="s">
        <v>20</v>
      </c>
      <c r="C13" s="4">
        <v>5</v>
      </c>
      <c r="D13" s="4" t="s">
        <v>51</v>
      </c>
      <c r="E13" s="4" t="s">
        <v>54</v>
      </c>
      <c r="F13" s="7">
        <v>0</v>
      </c>
      <c r="G13" s="7">
        <v>0</v>
      </c>
      <c r="H13" s="6">
        <v>1</v>
      </c>
      <c r="I13" s="8">
        <v>4</v>
      </c>
      <c r="J13" s="6">
        <v>1</v>
      </c>
    </row>
    <row r="14" spans="1:10" ht="20">
      <c r="A14" s="2" t="s">
        <v>26</v>
      </c>
      <c r="B14" s="3" t="s">
        <v>27</v>
      </c>
      <c r="C14" s="4">
        <v>5</v>
      </c>
      <c r="D14" s="4" t="s">
        <v>52</v>
      </c>
      <c r="E14" s="4" t="s">
        <v>49</v>
      </c>
      <c r="F14" s="7">
        <v>0</v>
      </c>
      <c r="G14" s="8">
        <v>4</v>
      </c>
      <c r="H14" s="6">
        <v>1</v>
      </c>
      <c r="I14" s="7">
        <v>0</v>
      </c>
      <c r="J14" s="7">
        <v>0</v>
      </c>
    </row>
    <row r="15" spans="1:10" ht="20">
      <c r="A15" s="2" t="s">
        <v>28</v>
      </c>
      <c r="B15" s="3" t="s">
        <v>27</v>
      </c>
      <c r="C15" s="4">
        <v>5</v>
      </c>
      <c r="D15" s="4" t="s">
        <v>56</v>
      </c>
      <c r="E15" s="4" t="s">
        <v>53</v>
      </c>
      <c r="F15" s="7">
        <v>0</v>
      </c>
      <c r="G15" s="7">
        <v>0</v>
      </c>
      <c r="H15" s="6">
        <v>1</v>
      </c>
      <c r="I15" s="9">
        <v>3</v>
      </c>
      <c r="J15" s="8">
        <v>4</v>
      </c>
    </row>
    <row r="16" spans="1:10" ht="20">
      <c r="A16" s="2" t="s">
        <v>29</v>
      </c>
      <c r="B16" s="3" t="s">
        <v>27</v>
      </c>
      <c r="C16" s="4">
        <v>5</v>
      </c>
      <c r="D16" s="4" t="s">
        <v>56</v>
      </c>
      <c r="E16" s="4" t="s">
        <v>53</v>
      </c>
      <c r="F16" s="7">
        <v>0</v>
      </c>
      <c r="G16" s="7">
        <v>0</v>
      </c>
      <c r="H16" s="7">
        <v>0</v>
      </c>
      <c r="I16" s="6">
        <v>1</v>
      </c>
      <c r="J16" s="8">
        <v>4</v>
      </c>
    </row>
    <row r="17" spans="1:10" ht="20">
      <c r="A17" s="2" t="s">
        <v>30</v>
      </c>
      <c r="B17" s="3" t="s">
        <v>27</v>
      </c>
      <c r="C17" s="4">
        <v>5</v>
      </c>
      <c r="D17" s="4" t="s">
        <v>57</v>
      </c>
      <c r="E17" s="4" t="s">
        <v>58</v>
      </c>
      <c r="F17" s="7">
        <v>0</v>
      </c>
      <c r="G17" s="7">
        <v>0</v>
      </c>
      <c r="H17" s="7">
        <v>0</v>
      </c>
      <c r="I17" s="9">
        <v>3</v>
      </c>
      <c r="J17" s="8">
        <v>4</v>
      </c>
    </row>
    <row r="18" spans="1:10" ht="20">
      <c r="A18" s="2" t="s">
        <v>31</v>
      </c>
      <c r="B18" s="3" t="s">
        <v>27</v>
      </c>
      <c r="C18" s="4">
        <v>5</v>
      </c>
      <c r="D18" s="4" t="s">
        <v>59</v>
      </c>
      <c r="E18" s="4" t="s">
        <v>58</v>
      </c>
      <c r="F18" s="7">
        <v>0</v>
      </c>
      <c r="G18" s="7">
        <v>0</v>
      </c>
      <c r="H18" s="7">
        <v>0</v>
      </c>
      <c r="I18" s="6">
        <v>1</v>
      </c>
      <c r="J18" s="8">
        <v>4</v>
      </c>
    </row>
    <row r="19" spans="1:10" ht="20">
      <c r="A19" s="2" t="s">
        <v>32</v>
      </c>
      <c r="B19" s="3" t="s">
        <v>27</v>
      </c>
      <c r="C19" s="4">
        <v>5</v>
      </c>
      <c r="D19" s="4" t="s">
        <v>56</v>
      </c>
      <c r="E19" s="4" t="s">
        <v>53</v>
      </c>
      <c r="F19" s="7">
        <v>0</v>
      </c>
      <c r="G19" s="7">
        <v>0</v>
      </c>
      <c r="H19" s="7">
        <v>0</v>
      </c>
      <c r="I19" s="6">
        <v>1</v>
      </c>
      <c r="J19" s="8">
        <v>4</v>
      </c>
    </row>
    <row r="20" spans="1:10" ht="20">
      <c r="A20" s="2" t="s">
        <v>33</v>
      </c>
      <c r="B20" s="3" t="s">
        <v>34</v>
      </c>
      <c r="C20" s="4">
        <v>5</v>
      </c>
      <c r="D20" s="4" t="s">
        <v>56</v>
      </c>
      <c r="E20" s="4" t="s">
        <v>53</v>
      </c>
      <c r="F20" s="7">
        <v>0</v>
      </c>
      <c r="G20" s="7">
        <v>0</v>
      </c>
      <c r="H20" s="7">
        <v>0</v>
      </c>
      <c r="I20" s="8">
        <v>4</v>
      </c>
      <c r="J20" s="5">
        <v>2</v>
      </c>
    </row>
    <row r="21" spans="1:10" ht="20">
      <c r="A21" s="2" t="s">
        <v>35</v>
      </c>
      <c r="B21" s="3" t="s">
        <v>34</v>
      </c>
      <c r="C21" s="4">
        <v>5</v>
      </c>
      <c r="D21" s="4" t="s">
        <v>56</v>
      </c>
      <c r="E21" s="4" t="s">
        <v>53</v>
      </c>
      <c r="F21" s="7">
        <v>0</v>
      </c>
      <c r="G21" s="7">
        <v>0</v>
      </c>
      <c r="H21" s="7">
        <v>0</v>
      </c>
      <c r="I21" s="8">
        <v>4</v>
      </c>
      <c r="J21" s="8">
        <v>4</v>
      </c>
    </row>
    <row r="22" spans="1:10" ht="20">
      <c r="A22" s="2" t="s">
        <v>36</v>
      </c>
      <c r="B22" s="3" t="s">
        <v>20</v>
      </c>
      <c r="C22" s="4">
        <v>5</v>
      </c>
      <c r="D22" s="4" t="s">
        <v>56</v>
      </c>
      <c r="E22" s="4" t="s">
        <v>53</v>
      </c>
      <c r="F22" s="7">
        <v>0</v>
      </c>
      <c r="G22" s="8">
        <v>4</v>
      </c>
      <c r="H22" s="7">
        <v>0</v>
      </c>
      <c r="I22" s="7">
        <v>0</v>
      </c>
      <c r="J22" s="7">
        <v>0</v>
      </c>
    </row>
    <row r="23" spans="1:10" ht="20">
      <c r="A23" s="2" t="s">
        <v>37</v>
      </c>
      <c r="B23" s="3" t="s">
        <v>34</v>
      </c>
      <c r="C23" s="4">
        <v>5</v>
      </c>
      <c r="D23" s="4" t="s">
        <v>56</v>
      </c>
      <c r="E23" s="4" t="s">
        <v>53</v>
      </c>
      <c r="F23" s="7">
        <v>0</v>
      </c>
      <c r="G23" s="7">
        <v>0</v>
      </c>
      <c r="H23" s="8">
        <v>4</v>
      </c>
      <c r="I23" s="9">
        <v>3</v>
      </c>
      <c r="J23" s="6">
        <v>1</v>
      </c>
    </row>
    <row r="24" spans="1:10" ht="20">
      <c r="A24" s="2" t="s">
        <v>38</v>
      </c>
      <c r="B24" s="3" t="s">
        <v>34</v>
      </c>
      <c r="C24" s="4">
        <v>5</v>
      </c>
      <c r="D24" s="4" t="s">
        <v>56</v>
      </c>
      <c r="E24" s="4" t="s">
        <v>53</v>
      </c>
      <c r="F24" s="7">
        <v>0</v>
      </c>
      <c r="G24" s="7">
        <v>0</v>
      </c>
      <c r="H24" s="7">
        <v>0</v>
      </c>
      <c r="I24" s="8">
        <v>4</v>
      </c>
      <c r="J24" s="5">
        <v>2</v>
      </c>
    </row>
    <row r="25" spans="1:10" ht="20">
      <c r="A25" s="2" t="s">
        <v>39</v>
      </c>
      <c r="B25" s="3" t="s">
        <v>34</v>
      </c>
      <c r="C25" s="21">
        <v>5</v>
      </c>
      <c r="D25" s="21" t="s">
        <v>56</v>
      </c>
      <c r="E25" s="21" t="s">
        <v>53</v>
      </c>
      <c r="F25" s="22">
        <v>0</v>
      </c>
      <c r="G25" s="22">
        <v>0</v>
      </c>
      <c r="H25" s="22">
        <v>0</v>
      </c>
      <c r="I25" s="23">
        <v>3</v>
      </c>
      <c r="J25" s="24">
        <v>2</v>
      </c>
    </row>
    <row r="26" spans="1:10" ht="20">
      <c r="A26" s="19" t="s">
        <v>60</v>
      </c>
      <c r="B26" s="20" t="s">
        <v>61</v>
      </c>
      <c r="C26" s="25">
        <v>5</v>
      </c>
      <c r="D26" s="25" t="s">
        <v>56</v>
      </c>
      <c r="E26" s="25" t="s">
        <v>53</v>
      </c>
      <c r="F26" s="26">
        <v>0</v>
      </c>
      <c r="G26" s="26">
        <v>0</v>
      </c>
      <c r="H26" s="26">
        <v>0</v>
      </c>
      <c r="I26" s="26">
        <v>0</v>
      </c>
      <c r="J26" s="27">
        <v>4</v>
      </c>
    </row>
    <row r="27" spans="1:10" ht="20">
      <c r="A27" s="19" t="s">
        <v>62</v>
      </c>
      <c r="B27" s="20" t="s">
        <v>63</v>
      </c>
      <c r="C27" s="25">
        <v>5</v>
      </c>
      <c r="D27" s="25" t="s">
        <v>56</v>
      </c>
      <c r="E27" s="25" t="s">
        <v>53</v>
      </c>
      <c r="F27" s="26">
        <v>0</v>
      </c>
      <c r="G27" s="26">
        <v>0</v>
      </c>
      <c r="H27" s="26">
        <v>0</v>
      </c>
      <c r="I27" s="27">
        <v>3</v>
      </c>
      <c r="J27" s="27">
        <v>3</v>
      </c>
    </row>
    <row r="28" spans="1:10" ht="20">
      <c r="A28" s="19" t="s">
        <v>64</v>
      </c>
      <c r="B28" s="20" t="s">
        <v>61</v>
      </c>
      <c r="C28" s="25">
        <v>5</v>
      </c>
      <c r="D28" s="25" t="s">
        <v>56</v>
      </c>
      <c r="E28" s="25" t="s">
        <v>53</v>
      </c>
      <c r="F28" s="26">
        <v>0</v>
      </c>
      <c r="G28" s="26">
        <v>0</v>
      </c>
      <c r="H28" s="26">
        <v>0</v>
      </c>
      <c r="I28" s="27">
        <v>4</v>
      </c>
      <c r="J28" s="27">
        <v>2</v>
      </c>
    </row>
    <row r="29" spans="1:10" ht="20">
      <c r="A29" s="19" t="s">
        <v>65</v>
      </c>
      <c r="B29" s="20" t="s">
        <v>63</v>
      </c>
      <c r="C29" s="25">
        <v>5</v>
      </c>
      <c r="D29" s="25" t="s">
        <v>56</v>
      </c>
      <c r="E29" s="25" t="s">
        <v>53</v>
      </c>
      <c r="F29" s="26">
        <v>0</v>
      </c>
      <c r="G29" s="26">
        <v>0</v>
      </c>
      <c r="H29" s="26">
        <v>0</v>
      </c>
      <c r="I29" s="27">
        <v>2</v>
      </c>
      <c r="J29" s="27">
        <v>4</v>
      </c>
    </row>
  </sheetData>
  <mergeCells count="1">
    <mergeCell ref="A1:J1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3"/>
  <cols>
    <col min="1" max="1" width="24" customWidth="1"/>
    <col min="2" max="3" width="14" customWidth="1"/>
  </cols>
  <sheetData>
    <row r="1" spans="1:5" ht="36" customHeight="1">
      <c r="A1" s="17" t="s">
        <v>40</v>
      </c>
      <c r="B1" s="18"/>
      <c r="C1" s="18"/>
      <c r="D1" s="18"/>
      <c r="E1" s="18"/>
    </row>
    <row r="3" spans="1:5" ht="18">
      <c r="A3" s="10" t="s">
        <v>41</v>
      </c>
    </row>
    <row r="4" spans="1:5" ht="18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</row>
    <row r="5" spans="1:5" ht="22.5">
      <c r="A5" s="12">
        <f>SUMPRODUCT((5-入力!C3:C25)*入力!F3:F25)</f>
        <v>0</v>
      </c>
      <c r="B5" s="12">
        <f>SUMPRODUCT((5-入力!C3:C25)*入力!G3:G25)</f>
        <v>0</v>
      </c>
      <c r="C5" s="12">
        <f>SUMPRODUCT((5-入力!C3:C25)*入力!H3:H25)</f>
        <v>0</v>
      </c>
      <c r="D5" s="12">
        <f>SUMPRODUCT((5-入力!C3:C25)*入力!I3:I25)</f>
        <v>0</v>
      </c>
      <c r="E5" s="12">
        <f>SUMPRODUCT((5-入力!C3:C25)*入力!J3:J25)</f>
        <v>0</v>
      </c>
    </row>
    <row r="7" spans="1:5" ht="18">
      <c r="A7" s="10" t="s">
        <v>42</v>
      </c>
    </row>
    <row r="8" spans="1:5" ht="18">
      <c r="A8" s="11" t="s">
        <v>43</v>
      </c>
      <c r="B8" s="11" t="s">
        <v>44</v>
      </c>
      <c r="C8" s="11" t="s">
        <v>45</v>
      </c>
    </row>
    <row r="9" spans="1:5" ht="20">
      <c r="A9" s="13" t="s">
        <v>10</v>
      </c>
      <c r="B9" s="14">
        <f>COUNTIFS(入力!B3:B25,"長胸神経",入力!C3:C25,"&lt;5")</f>
        <v>0</v>
      </c>
      <c r="C9" s="15">
        <f>COUNTIF(入力!B3:B25,"長胸神経")</f>
        <v>1</v>
      </c>
    </row>
    <row r="10" spans="1:5" ht="20">
      <c r="A10" s="13" t="s">
        <v>12</v>
      </c>
      <c r="B10" s="14">
        <f>COUNTIFS(入力!B3:B25,"肩甲上神経",入力!C3:C25,"&lt;5")</f>
        <v>0</v>
      </c>
      <c r="C10" s="15">
        <f>COUNTIF(入力!B3:B25,"肩甲上神経")</f>
        <v>1</v>
      </c>
    </row>
    <row r="11" spans="1:5" ht="20">
      <c r="A11" s="13" t="s">
        <v>14</v>
      </c>
      <c r="B11" s="14">
        <f>COUNTIFS(入力!B3:B25,"胸背神経",入力!C3:C25,"&lt;5")</f>
        <v>0</v>
      </c>
      <c r="C11" s="15">
        <f>COUNTIF(入力!B3:B25,"胸背神経")</f>
        <v>1</v>
      </c>
    </row>
    <row r="12" spans="1:5" ht="20">
      <c r="A12" s="13" t="s">
        <v>16</v>
      </c>
      <c r="B12" s="14">
        <f>COUNTIFS(入力!B3:B25,"腋窩神経",入力!C3:C25,"&lt;5")</f>
        <v>0</v>
      </c>
      <c r="C12" s="15">
        <f>COUNTIF(入力!B3:B25,"腋窩神経")</f>
        <v>1</v>
      </c>
    </row>
    <row r="13" spans="1:5" ht="20">
      <c r="A13" s="13" t="s">
        <v>18</v>
      </c>
      <c r="B13" s="14">
        <f>COUNTIFS(入力!B3:B25,"筋皮神経",入力!C3:C25,"&lt;5")</f>
        <v>0</v>
      </c>
      <c r="C13" s="15">
        <f>COUNTIF(入力!B3:B25,"筋皮神経")</f>
        <v>1</v>
      </c>
    </row>
    <row r="14" spans="1:5" ht="20">
      <c r="A14" s="13" t="s">
        <v>20</v>
      </c>
      <c r="B14" s="14">
        <f>COUNTIFS(入力!B3:B25,"橈骨神経",入力!C3:C25,"&lt;5")</f>
        <v>0</v>
      </c>
      <c r="C14" s="15">
        <f>COUNTIF(入力!B3:B25,"橈骨神経")</f>
        <v>7</v>
      </c>
    </row>
    <row r="15" spans="1:5" ht="20">
      <c r="A15" s="13" t="s">
        <v>27</v>
      </c>
      <c r="B15" s="14">
        <f>COUNTIFS(入力!B3:B25,"正中神経",入力!C3:C25,"&lt;5")</f>
        <v>0</v>
      </c>
      <c r="C15" s="15">
        <f>COUNTIF(入力!B3:B25,"正中神経")</f>
        <v>6</v>
      </c>
    </row>
    <row r="16" spans="1:5" ht="20">
      <c r="A16" s="13" t="s">
        <v>34</v>
      </c>
      <c r="B16" s="14">
        <f>COUNTIFS(入力!B3:B25,"尺骨神経",入力!C3:C25,"&lt;5")</f>
        <v>0</v>
      </c>
      <c r="C16" s="15">
        <f>COUNTIF(入力!B3:B25,"尺骨神経")</f>
        <v>5</v>
      </c>
    </row>
    <row r="19" spans="1:1" ht="16.5">
      <c r="A19" s="16" t="s">
        <v>46</v>
      </c>
    </row>
  </sheetData>
  <mergeCells count="1">
    <mergeCell ref="A1:E1"/>
  </mergeCells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久司 今村</cp:lastModifiedBy>
  <dcterms:created xsi:type="dcterms:W3CDTF">2026-03-12T09:10:27Z</dcterms:created>
  <dcterms:modified xsi:type="dcterms:W3CDTF">2026-03-12T13:58:56Z</dcterms:modified>
</cp:coreProperties>
</file>