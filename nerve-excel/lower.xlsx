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c5d66dd010fbc96/Desktop/電子カルテに入れるのを希望/"/>
    </mc:Choice>
  </mc:AlternateContent>
  <xr:revisionPtr revIDLastSave="5" documentId="8_{DFB24253-CA36-439D-B280-3CEB50D64E49}" xr6:coauthVersionLast="47" xr6:coauthVersionMax="47" xr10:uidLastSave="{7EB787EC-8A76-4DE0-AFB8-EB16D5E6FC2C}"/>
  <bookViews>
    <workbookView xWindow="2730" yWindow="2730" windowWidth="16200" windowHeight="9308" xr2:uid="{00000000-000D-0000-FFFF-FFFF00000000}"/>
  </bookViews>
  <sheets>
    <sheet name="入力" sheetId="1" r:id="rId1"/>
    <sheet name="結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B15" i="2"/>
  <c r="B14" i="2"/>
  <c r="B13" i="2"/>
  <c r="B12" i="2"/>
  <c r="B11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<sst xmlns="http://schemas.openxmlformats.org/spreadsheetml/2006/main" count="61" uniqueCount="38">
  <si>
    <t>筋肉</t>
  </si>
  <si>
    <t>支配神経</t>
  </si>
  <si>
    <t>L1</t>
  </si>
  <si>
    <t>L2</t>
  </si>
  <si>
    <t>L3</t>
  </si>
  <si>
    <t>L4</t>
  </si>
  <si>
    <t>L5</t>
  </si>
  <si>
    <t>S1</t>
  </si>
  <si>
    <t>S2</t>
  </si>
  <si>
    <t>MMT</t>
  </si>
  <si>
    <t>腸腰筋</t>
  </si>
  <si>
    <t>大腿神経/腰神経叢</t>
  </si>
  <si>
    <t>中殿筋</t>
  </si>
  <si>
    <t>上殿神経</t>
  </si>
  <si>
    <t>大殿筋</t>
  </si>
  <si>
    <t>下殿神経</t>
  </si>
  <si>
    <t>前脛骨筋</t>
  </si>
  <si>
    <t>深腓骨神経</t>
  </si>
  <si>
    <t>後脛骨筋</t>
  </si>
  <si>
    <t>脛骨神経</t>
  </si>
  <si>
    <t>長趾屈筋</t>
  </si>
  <si>
    <t>内転筋群</t>
  </si>
  <si>
    <t>閉鎖神経</t>
  </si>
  <si>
    <t>大腿四頭筋</t>
  </si>
  <si>
    <t>大腿神経</t>
  </si>
  <si>
    <t>大腿屈筋群</t>
  </si>
  <si>
    <t>脛骨神経/総腓骨神経</t>
  </si>
  <si>
    <t>足趾背屈</t>
  </si>
  <si>
    <t>母趾背屈</t>
  </si>
  <si>
    <t>腓骨筋群</t>
  </si>
  <si>
    <t>浅腓骨神経</t>
  </si>
  <si>
    <t>下腿三頭筋</t>
  </si>
  <si>
    <t>短趾屈筋</t>
  </si>
  <si>
    <t>長母趾屈筋</t>
  </si>
  <si>
    <t>短母趾屈筋</t>
  </si>
  <si>
    <t>脊髄レベル</t>
  </si>
  <si>
    <t>神経名</t>
  </si>
  <si>
    <t>MMT≦4 の筋数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</si>
</sst>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Table" displayName="InputTable" ref="A1:J17">
  <autoFilter ref="A1:J17" xr:uid="{00000000-0009-0000-0100-000001000000}"/>
  <tableColumns count="10">
    <tableColumn id="1" xr3:uid="{00000000-0010-0000-0000-000001000000}" name="筋肉"/>
    <tableColumn id="2" xr3:uid="{00000000-0010-0000-0000-000002000000}" name="支配神経"/>
    <tableColumn id="3" xr3:uid="{00000000-0010-0000-0000-000003000000}" name="L1"/>
    <tableColumn id="4" xr3:uid="{00000000-0010-0000-0000-000004000000}" name="L2"/>
    <tableColumn id="5" xr3:uid="{00000000-0010-0000-0000-000005000000}" name="L3"/>
    <tableColumn id="6" xr3:uid="{00000000-0010-0000-0000-000006000000}" name="L4"/>
    <tableColumn id="7" xr3:uid="{00000000-0010-0000-0000-000007000000}" name="L5"/>
    <tableColumn id="8" xr3:uid="{00000000-0010-0000-0000-000008000000}" name="S1"/>
    <tableColumn id="9" xr3:uid="{00000000-0010-0000-0000-000009000000}" name="S2"/>
    <tableColumn id="10" xr3:uid="{00000000-0010-0000-0000-00000A000000}" name="MM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2.75" x14ac:dyDescent="0.25"/>
  <cols>
    <col min="1" max="1" width="22" customWidth="1"/>
    <col min="2" max="2" width="18" customWidth="1"/>
    <col min="3" max="9" width="4" customWidth="1"/>
    <col min="10" max="10" width="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4</v>
      </c>
      <c r="H3">
        <v>1</v>
      </c>
      <c r="I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1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2</v>
      </c>
      <c r="G5">
        <v>4</v>
      </c>
      <c r="H5">
        <v>0</v>
      </c>
      <c r="I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0</v>
      </c>
    </row>
    <row r="7" spans="1:10" x14ac:dyDescent="0.25">
      <c r="A7" t="s">
        <v>20</v>
      </c>
      <c r="B7" t="s">
        <v>19</v>
      </c>
      <c r="C7">
        <v>0</v>
      </c>
      <c r="D7">
        <v>0</v>
      </c>
      <c r="E7">
        <v>0</v>
      </c>
      <c r="F7">
        <v>0</v>
      </c>
      <c r="G7">
        <v>4</v>
      </c>
      <c r="H7">
        <v>2</v>
      </c>
      <c r="I7">
        <v>0</v>
      </c>
    </row>
    <row r="8" spans="1:10" x14ac:dyDescent="0.25">
      <c r="A8" t="s">
        <v>21</v>
      </c>
      <c r="B8" t="s">
        <v>22</v>
      </c>
      <c r="C8">
        <v>0</v>
      </c>
      <c r="D8">
        <v>2</v>
      </c>
      <c r="E8">
        <v>2</v>
      </c>
      <c r="F8">
        <v>2</v>
      </c>
      <c r="G8">
        <v>0</v>
      </c>
      <c r="H8">
        <v>0</v>
      </c>
      <c r="I8">
        <v>0</v>
      </c>
    </row>
    <row r="9" spans="1:10" x14ac:dyDescent="0.25">
      <c r="A9" t="s">
        <v>23</v>
      </c>
      <c r="B9" t="s">
        <v>24</v>
      </c>
      <c r="C9">
        <v>0</v>
      </c>
      <c r="D9">
        <v>0</v>
      </c>
      <c r="E9">
        <v>3</v>
      </c>
      <c r="F9">
        <v>3</v>
      </c>
      <c r="G9">
        <v>0</v>
      </c>
      <c r="H9">
        <v>0</v>
      </c>
      <c r="I9">
        <v>0</v>
      </c>
    </row>
    <row r="10" spans="1:10" x14ac:dyDescent="0.25">
      <c r="A10" t="s">
        <v>25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</row>
    <row r="11" spans="1:10" x14ac:dyDescent="0.25">
      <c r="A11" t="s">
        <v>27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4</v>
      </c>
      <c r="H11">
        <v>0</v>
      </c>
      <c r="I11">
        <v>0</v>
      </c>
    </row>
    <row r="12" spans="1:10" x14ac:dyDescent="0.25">
      <c r="A12" t="s">
        <v>28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4</v>
      </c>
      <c r="H12">
        <v>0</v>
      </c>
      <c r="I12">
        <v>0</v>
      </c>
    </row>
    <row r="13" spans="1:10" x14ac:dyDescent="0.25">
      <c r="A13" t="s">
        <v>29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</row>
    <row r="14" spans="1:10" x14ac:dyDescent="0.25">
      <c r="A14" t="s">
        <v>31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2</v>
      </c>
      <c r="H14">
        <v>4</v>
      </c>
      <c r="I14">
        <v>0</v>
      </c>
    </row>
    <row r="15" spans="1:10" x14ac:dyDescent="0.25">
      <c r="A15" t="s">
        <v>32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2</v>
      </c>
    </row>
    <row r="16" spans="1:10" x14ac:dyDescent="0.25">
      <c r="A16" t="s">
        <v>33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4</v>
      </c>
      <c r="H16">
        <v>2</v>
      </c>
      <c r="I16">
        <v>0</v>
      </c>
    </row>
    <row r="17" spans="1:9" x14ac:dyDescent="0.25">
      <c r="A17" t="s">
        <v>34</v>
      </c>
      <c r="B17" t="s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4</v>
      </c>
      <c r="I17">
        <v>2</v>
      </c>
    </row>
  </sheetData>
  <phoneticPr fontId="2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2.75" x14ac:dyDescent="0.25"/>
  <cols>
    <col min="1" max="1" width="30" customWidth="1"/>
    <col min="2" max="2" width="20" customWidth="1"/>
  </cols>
  <sheetData>
    <row r="2" spans="1:2" x14ac:dyDescent="0.25">
      <c r="A2" s="2" t="s">
        <v>35</v>
      </c>
      <c r="B2" s="2"/>
    </row>
    <row r="3" spans="1:2" x14ac:dyDescent="0.25">
      <c r="A3" s="3" t="s">
        <v>2</v>
      </c>
      <c r="B3" s="3">
        <f>SUMPRODUCT((入力!$J$2:$J$17&lt;&gt;"" )*(5-入力!$J$2:$J$17)*入力!$C$2:$C$17)</f>
        <v>0</v>
      </c>
    </row>
    <row r="4" spans="1:2" x14ac:dyDescent="0.25">
      <c r="A4" s="3" t="s">
        <v>3</v>
      </c>
      <c r="B4" s="3">
        <f>SUMPRODUCT((入力!$J$2:$J$17&lt;&gt;"" )*(5-入力!$J$2:$J$17)*入力!$D$2:$D$17)</f>
        <v>0</v>
      </c>
    </row>
    <row r="5" spans="1:2" x14ac:dyDescent="0.25">
      <c r="A5" s="3" t="s">
        <v>4</v>
      </c>
      <c r="B5" s="3">
        <f>SUMPRODUCT((入力!$J$2:$J$17&lt;&gt;"" )*(5-入力!$J$2:$J$17)*入力!$E$2:$E$17)</f>
        <v>0</v>
      </c>
    </row>
    <row r="6" spans="1:2" x14ac:dyDescent="0.25">
      <c r="A6" s="3" t="s">
        <v>5</v>
      </c>
      <c r="B6" s="3">
        <f>SUMPRODUCT((入力!$J$2:$J$17&lt;&gt;"" )*(5-入力!$J$2:$J$17)*入力!$F$2:$F$17)</f>
        <v>0</v>
      </c>
    </row>
    <row r="7" spans="1:2" x14ac:dyDescent="0.25">
      <c r="A7" s="3" t="s">
        <v>6</v>
      </c>
      <c r="B7" s="3">
        <f>SUMPRODUCT((入力!$J$2:$J$17&lt;&gt;"" )*(5-入力!$J$2:$J$17)*入力!$G$2:$G$17)</f>
        <v>0</v>
      </c>
    </row>
    <row r="8" spans="1:2" x14ac:dyDescent="0.25">
      <c r="A8" s="3" t="s">
        <v>7</v>
      </c>
      <c r="B8" s="3">
        <f>SUMPRODUCT((入力!$J$2:$J$17&lt;&gt;"" )*(5-入力!$J$2:$J$17)*入力!$H$2:$H$17)</f>
        <v>0</v>
      </c>
    </row>
    <row r="9" spans="1:2" x14ac:dyDescent="0.25">
      <c r="A9" s="3" t="s">
        <v>8</v>
      </c>
      <c r="B9" s="3">
        <f>SUMPRODUCT((入力!$J$2:$J$17&lt;&gt;"" )*(5-入力!$J$2:$J$17)*入力!$I$2:$I$17)</f>
        <v>0</v>
      </c>
    </row>
    <row r="10" spans="1:2" x14ac:dyDescent="0.25">
      <c r="A10" s="2" t="s">
        <v>36</v>
      </c>
      <c r="B10" s="2" t="s">
        <v>37</v>
      </c>
    </row>
    <row r="11" spans="1:2" x14ac:dyDescent="0.25">
      <c r="A11" s="3" t="s">
        <v>11</v>
      </c>
      <c r="B11" s="3">
        <f>COUNTIFS(入力!$B$2:$B$17,"=大腿神経/腰神経叢",入力!$J$2:$J$17,"&lt;=4",入力!$J$2:$J$17,"&lt;&gt;")</f>
        <v>0</v>
      </c>
    </row>
    <row r="12" spans="1:2" x14ac:dyDescent="0.25">
      <c r="A12" s="3" t="s">
        <v>13</v>
      </c>
      <c r="B12" s="3">
        <f>COUNTIFS(入力!$B$2:$B$17,"=上殿神経",入力!$J$2:$J$17,"&lt;=4",入力!$J$2:$J$17,"&lt;&gt;")</f>
        <v>0</v>
      </c>
    </row>
    <row r="13" spans="1:2" x14ac:dyDescent="0.25">
      <c r="A13" s="3" t="s">
        <v>15</v>
      </c>
      <c r="B13" s="3">
        <f>COUNTIFS(入力!$B$2:$B$17,"=下殿神経",入力!$J$2:$J$17,"&lt;=4",入力!$J$2:$J$17,"&lt;&gt;")</f>
        <v>0</v>
      </c>
    </row>
    <row r="14" spans="1:2" x14ac:dyDescent="0.25">
      <c r="A14" s="3" t="s">
        <v>17</v>
      </c>
      <c r="B14" s="3">
        <f>COUNTIFS(入力!$B$2:$B$17,"=深腓骨神経",入力!$J$2:$J$17,"&lt;=4",入力!$J$2:$J$17,"&lt;&gt;")</f>
        <v>0</v>
      </c>
    </row>
    <row r="15" spans="1:2" x14ac:dyDescent="0.25">
      <c r="A15" s="3" t="s">
        <v>19</v>
      </c>
      <c r="B15" s="3">
        <f>COUNTIFS(入力!$B$2:$B$17,"=脛骨神経",入力!$J$2:$J$17,"&lt;=4",入力!$J$2:$J$17,"&lt;&gt;")</f>
        <v>0</v>
      </c>
    </row>
    <row r="16" spans="1:2" x14ac:dyDescent="0.25">
      <c r="A16" s="3" t="s">
        <v>22</v>
      </c>
      <c r="B16" s="3">
        <f>COUNTIFS(入力!$B$2:$B$17,"=閉鎖神経",入力!$J$2:$J$17,"&lt;=4",入力!$J$2:$J$17,"&lt;&gt;")</f>
        <v>0</v>
      </c>
    </row>
    <row r="17" spans="1:2" x14ac:dyDescent="0.25">
      <c r="A17" s="3" t="s">
        <v>24</v>
      </c>
      <c r="B17" s="3">
        <f>COUNTIFS(入力!$B$2:$B$17,"=大腿神経",入力!$J$2:$J$17,"&lt;=4",入力!$J$2:$J$17,"&lt;&gt;")</f>
        <v>0</v>
      </c>
    </row>
    <row r="18" spans="1:2" x14ac:dyDescent="0.25">
      <c r="A18" s="3" t="s">
        <v>26</v>
      </c>
      <c r="B18" s="3">
        <f>COUNTIFS(入力!$B$2:$B$17,"=脛骨神経/総腓骨神経",入力!$J$2:$J$17,"&lt;=4",入力!$J$2:$J$17,"&lt;&gt;")</f>
        <v>0</v>
      </c>
    </row>
    <row r="19" spans="1:2" x14ac:dyDescent="0.25">
      <c r="A19" s="3" t="s">
        <v>30</v>
      </c>
      <c r="B19" s="3">
        <f>COUNTIFS(入力!$B$2:$B$17,"=浅腓骨神経",入力!$J$2:$J$17,"&lt;=4",入力!$J$2:$J$17,"&lt;&gt;")</f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久司 今村</cp:lastModifiedBy>
  <dcterms:created xsi:type="dcterms:W3CDTF">2025-04-29T19:58:54Z</dcterms:created>
  <dcterms:modified xsi:type="dcterms:W3CDTF">2025-04-30T02:16:04Z</dcterms:modified>
</cp:coreProperties>
</file>